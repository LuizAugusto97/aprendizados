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Guto\Downloads\"/>
    </mc:Choice>
  </mc:AlternateContent>
  <xr:revisionPtr revIDLastSave="0" documentId="13_ncr:1_{72C0CEEB-8664-4D37-B662-25152C1E26CD}" xr6:coauthVersionLast="47" xr6:coauthVersionMax="47" xr10:uidLastSave="{00000000-0000-0000-0000-000000000000}"/>
  <bookViews>
    <workbookView xWindow="7530" yWindow="0" windowWidth="21270" windowHeight="15600" activeTab="2" xr2:uid="{00000000-000D-0000-FFFF-FFFF00000000}"/>
  </bookViews>
  <sheets>
    <sheet name="Problema" sheetId="4" r:id="rId1"/>
    <sheet name="Base Original" sheetId="5" r:id="rId2"/>
    <sheet name="Tabela" sheetId="3" r:id="rId3"/>
  </sheets>
  <definedNames>
    <definedName name="_xlnm._FilterDatabase" localSheetId="2" hidden="1">Tabela!$B$2:$M$290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9" i="3" l="1"/>
  <c r="AE19" i="3" s="1"/>
  <c r="AF19" i="3" s="1"/>
  <c r="AB1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N20" i="3"/>
  <c r="AN19" i="3"/>
  <c r="AN18" i="3"/>
  <c r="AN17" i="3"/>
  <c r="AL22" i="3"/>
  <c r="AL21" i="3"/>
  <c r="AL20" i="3"/>
  <c r="AL19" i="3"/>
  <c r="AL18" i="3"/>
  <c r="AL17" i="3"/>
  <c r="AJ18" i="3"/>
  <c r="AJ22" i="3"/>
  <c r="AJ21" i="3"/>
  <c r="AJ20" i="3"/>
  <c r="AJ19" i="3"/>
  <c r="AJ17" i="3"/>
  <c r="AN12" i="3"/>
  <c r="AN11" i="3"/>
  <c r="AL12" i="3"/>
  <c r="AL11" i="3"/>
  <c r="AJ13" i="3"/>
  <c r="AJ12" i="3"/>
  <c r="AJ11" i="3"/>
  <c r="AU7" i="3"/>
  <c r="AT7" i="3"/>
  <c r="AS7" i="3"/>
  <c r="AR7" i="3"/>
  <c r="AQ7" i="3"/>
  <c r="AP7" i="3"/>
  <c r="AO7" i="3"/>
  <c r="AN7" i="3"/>
  <c r="AM7" i="3"/>
  <c r="AL7" i="3"/>
  <c r="AK7" i="3"/>
  <c r="AJ7" i="3"/>
  <c r="AU6" i="3"/>
  <c r="AT6" i="3"/>
  <c r="AS6" i="3"/>
  <c r="AR6" i="3"/>
  <c r="AQ6" i="3"/>
  <c r="AP6" i="3"/>
  <c r="AO6" i="3"/>
  <c r="AN6" i="3"/>
  <c r="AM6" i="3"/>
  <c r="AL6" i="3"/>
  <c r="AK6" i="3"/>
  <c r="AJ6" i="3"/>
  <c r="AC6" i="3"/>
  <c r="AC5" i="3"/>
  <c r="AC12" i="3" s="1"/>
  <c r="AC4" i="3"/>
  <c r="AC14" i="3" s="1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F290" i="3"/>
  <c r="I290" i="3" s="1"/>
  <c r="F289" i="3"/>
  <c r="I289" i="3" s="1"/>
  <c r="F288" i="3"/>
  <c r="I288" i="3" s="1"/>
  <c r="F287" i="3"/>
  <c r="I287" i="3" s="1"/>
  <c r="F286" i="3"/>
  <c r="I286" i="3" s="1"/>
  <c r="F285" i="3"/>
  <c r="I285" i="3" s="1"/>
  <c r="F284" i="3"/>
  <c r="I284" i="3" s="1"/>
  <c r="F283" i="3"/>
  <c r="I283" i="3" s="1"/>
  <c r="F282" i="3"/>
  <c r="I282" i="3" s="1"/>
  <c r="F281" i="3"/>
  <c r="I281" i="3" s="1"/>
  <c r="F280" i="3"/>
  <c r="I280" i="3" s="1"/>
  <c r="F279" i="3"/>
  <c r="I279" i="3" s="1"/>
  <c r="F278" i="3"/>
  <c r="I278" i="3" s="1"/>
  <c r="F277" i="3"/>
  <c r="I277" i="3" s="1"/>
  <c r="F276" i="3"/>
  <c r="I276" i="3" s="1"/>
  <c r="F275" i="3"/>
  <c r="I275" i="3" s="1"/>
  <c r="F274" i="3"/>
  <c r="I274" i="3" s="1"/>
  <c r="F273" i="3"/>
  <c r="I273" i="3" s="1"/>
  <c r="F272" i="3"/>
  <c r="I272" i="3" s="1"/>
  <c r="F271" i="3"/>
  <c r="I271" i="3" s="1"/>
  <c r="F270" i="3"/>
  <c r="I270" i="3" s="1"/>
  <c r="F269" i="3"/>
  <c r="I269" i="3" s="1"/>
  <c r="F268" i="3"/>
  <c r="I268" i="3" s="1"/>
  <c r="F267" i="3"/>
  <c r="I267" i="3" s="1"/>
  <c r="F266" i="3"/>
  <c r="I266" i="3" s="1"/>
  <c r="F265" i="3"/>
  <c r="I265" i="3" s="1"/>
  <c r="F264" i="3"/>
  <c r="I264" i="3" s="1"/>
  <c r="F263" i="3"/>
  <c r="I263" i="3" s="1"/>
  <c r="F262" i="3"/>
  <c r="I262" i="3" s="1"/>
  <c r="F261" i="3"/>
  <c r="I261" i="3" s="1"/>
  <c r="F260" i="3"/>
  <c r="I260" i="3" s="1"/>
  <c r="F259" i="3"/>
  <c r="I259" i="3" s="1"/>
  <c r="F258" i="3"/>
  <c r="I258" i="3" s="1"/>
  <c r="F257" i="3"/>
  <c r="I257" i="3" s="1"/>
  <c r="F256" i="3"/>
  <c r="I256" i="3" s="1"/>
  <c r="F255" i="3"/>
  <c r="I255" i="3" s="1"/>
  <c r="F254" i="3"/>
  <c r="I254" i="3" s="1"/>
  <c r="F253" i="3"/>
  <c r="I253" i="3" s="1"/>
  <c r="F252" i="3"/>
  <c r="I252" i="3" s="1"/>
  <c r="F251" i="3"/>
  <c r="I251" i="3" s="1"/>
  <c r="F250" i="3"/>
  <c r="I250" i="3" s="1"/>
  <c r="F249" i="3"/>
  <c r="I249" i="3" s="1"/>
  <c r="F248" i="3"/>
  <c r="I248" i="3" s="1"/>
  <c r="F247" i="3"/>
  <c r="I247" i="3" s="1"/>
  <c r="F246" i="3"/>
  <c r="I246" i="3" s="1"/>
  <c r="F245" i="3"/>
  <c r="I245" i="3" s="1"/>
  <c r="F244" i="3"/>
  <c r="I244" i="3" s="1"/>
  <c r="F243" i="3"/>
  <c r="I243" i="3" s="1"/>
  <c r="F242" i="3"/>
  <c r="I242" i="3" s="1"/>
  <c r="F241" i="3"/>
  <c r="I241" i="3" s="1"/>
  <c r="F240" i="3"/>
  <c r="I240" i="3" s="1"/>
  <c r="F239" i="3"/>
  <c r="I239" i="3" s="1"/>
  <c r="F238" i="3"/>
  <c r="I238" i="3" s="1"/>
  <c r="F237" i="3"/>
  <c r="I237" i="3" s="1"/>
  <c r="F236" i="3"/>
  <c r="I236" i="3" s="1"/>
  <c r="F235" i="3"/>
  <c r="I235" i="3" s="1"/>
  <c r="F234" i="3"/>
  <c r="I234" i="3" s="1"/>
  <c r="F233" i="3"/>
  <c r="I233" i="3" s="1"/>
  <c r="F232" i="3"/>
  <c r="I232" i="3" s="1"/>
  <c r="F231" i="3"/>
  <c r="I231" i="3" s="1"/>
  <c r="F230" i="3"/>
  <c r="I230" i="3" s="1"/>
  <c r="F229" i="3"/>
  <c r="I229" i="3" s="1"/>
  <c r="F228" i="3"/>
  <c r="I228" i="3" s="1"/>
  <c r="F227" i="3"/>
  <c r="I227" i="3" s="1"/>
  <c r="F226" i="3"/>
  <c r="I226" i="3" s="1"/>
  <c r="F225" i="3"/>
  <c r="I225" i="3" s="1"/>
  <c r="F224" i="3"/>
  <c r="I224" i="3" s="1"/>
  <c r="F223" i="3"/>
  <c r="I223" i="3" s="1"/>
  <c r="F222" i="3"/>
  <c r="I222" i="3" s="1"/>
  <c r="F221" i="3"/>
  <c r="I221" i="3" s="1"/>
  <c r="F220" i="3"/>
  <c r="I220" i="3" s="1"/>
  <c r="F219" i="3"/>
  <c r="I219" i="3" s="1"/>
  <c r="F218" i="3"/>
  <c r="I218" i="3" s="1"/>
  <c r="F217" i="3"/>
  <c r="I217" i="3" s="1"/>
  <c r="F216" i="3"/>
  <c r="I216" i="3" s="1"/>
  <c r="F215" i="3"/>
  <c r="I215" i="3" s="1"/>
  <c r="F214" i="3"/>
  <c r="I214" i="3" s="1"/>
  <c r="F213" i="3"/>
  <c r="I213" i="3" s="1"/>
  <c r="F212" i="3"/>
  <c r="I212" i="3" s="1"/>
  <c r="F211" i="3"/>
  <c r="I211" i="3" s="1"/>
  <c r="F210" i="3"/>
  <c r="I210" i="3" s="1"/>
  <c r="F209" i="3"/>
  <c r="I209" i="3" s="1"/>
  <c r="F208" i="3"/>
  <c r="I208" i="3" s="1"/>
  <c r="F207" i="3"/>
  <c r="I207" i="3" s="1"/>
  <c r="F206" i="3"/>
  <c r="I206" i="3" s="1"/>
  <c r="F205" i="3"/>
  <c r="I205" i="3" s="1"/>
  <c r="F204" i="3"/>
  <c r="I204" i="3" s="1"/>
  <c r="F203" i="3"/>
  <c r="I203" i="3" s="1"/>
  <c r="F202" i="3"/>
  <c r="I202" i="3" s="1"/>
  <c r="F201" i="3"/>
  <c r="I201" i="3" s="1"/>
  <c r="F200" i="3"/>
  <c r="I200" i="3" s="1"/>
  <c r="F199" i="3"/>
  <c r="I199" i="3" s="1"/>
  <c r="F198" i="3"/>
  <c r="I198" i="3" s="1"/>
  <c r="F197" i="3"/>
  <c r="I197" i="3" s="1"/>
  <c r="F196" i="3"/>
  <c r="I196" i="3" s="1"/>
  <c r="F195" i="3"/>
  <c r="I195" i="3" s="1"/>
  <c r="F194" i="3"/>
  <c r="I194" i="3" s="1"/>
  <c r="F193" i="3"/>
  <c r="I193" i="3" s="1"/>
  <c r="F192" i="3"/>
  <c r="I192" i="3" s="1"/>
  <c r="F191" i="3"/>
  <c r="I191" i="3" s="1"/>
  <c r="F190" i="3"/>
  <c r="I190" i="3" s="1"/>
  <c r="F189" i="3"/>
  <c r="I189" i="3" s="1"/>
  <c r="F188" i="3"/>
  <c r="I188" i="3" s="1"/>
  <c r="F187" i="3"/>
  <c r="I187" i="3" s="1"/>
  <c r="F186" i="3"/>
  <c r="I186" i="3" s="1"/>
  <c r="F185" i="3"/>
  <c r="I185" i="3" s="1"/>
  <c r="F184" i="3"/>
  <c r="I184" i="3" s="1"/>
  <c r="F183" i="3"/>
  <c r="I183" i="3" s="1"/>
  <c r="F182" i="3"/>
  <c r="I182" i="3" s="1"/>
  <c r="F181" i="3"/>
  <c r="I181" i="3" s="1"/>
  <c r="F180" i="3"/>
  <c r="I180" i="3" s="1"/>
  <c r="F179" i="3"/>
  <c r="I179" i="3" s="1"/>
  <c r="F178" i="3"/>
  <c r="I178" i="3" s="1"/>
  <c r="F177" i="3"/>
  <c r="I177" i="3" s="1"/>
  <c r="F176" i="3"/>
  <c r="I176" i="3" s="1"/>
  <c r="F175" i="3"/>
  <c r="I175" i="3" s="1"/>
  <c r="F174" i="3"/>
  <c r="I174" i="3" s="1"/>
  <c r="F173" i="3"/>
  <c r="I173" i="3" s="1"/>
  <c r="F172" i="3"/>
  <c r="I172" i="3" s="1"/>
  <c r="F171" i="3"/>
  <c r="I171" i="3" s="1"/>
  <c r="F170" i="3"/>
  <c r="I170" i="3" s="1"/>
  <c r="F169" i="3"/>
  <c r="I169" i="3" s="1"/>
  <c r="F168" i="3"/>
  <c r="I168" i="3" s="1"/>
  <c r="F167" i="3"/>
  <c r="I167" i="3" s="1"/>
  <c r="F166" i="3"/>
  <c r="I166" i="3" s="1"/>
  <c r="F165" i="3"/>
  <c r="I165" i="3" s="1"/>
  <c r="F164" i="3"/>
  <c r="I164" i="3" s="1"/>
  <c r="F163" i="3"/>
  <c r="I163" i="3" s="1"/>
  <c r="F162" i="3"/>
  <c r="I162" i="3" s="1"/>
  <c r="F161" i="3"/>
  <c r="I161" i="3" s="1"/>
  <c r="F160" i="3"/>
  <c r="I160" i="3" s="1"/>
  <c r="F159" i="3"/>
  <c r="I159" i="3" s="1"/>
  <c r="F158" i="3"/>
  <c r="I158" i="3" s="1"/>
  <c r="F157" i="3"/>
  <c r="I157" i="3" s="1"/>
  <c r="F156" i="3"/>
  <c r="I156" i="3" s="1"/>
  <c r="F155" i="3"/>
  <c r="I155" i="3" s="1"/>
  <c r="F154" i="3"/>
  <c r="I154" i="3" s="1"/>
  <c r="F153" i="3"/>
  <c r="I153" i="3" s="1"/>
  <c r="F152" i="3"/>
  <c r="I152" i="3" s="1"/>
  <c r="F151" i="3"/>
  <c r="I151" i="3" s="1"/>
  <c r="F150" i="3"/>
  <c r="I150" i="3" s="1"/>
  <c r="F149" i="3"/>
  <c r="I149" i="3" s="1"/>
  <c r="F148" i="3"/>
  <c r="I148" i="3" s="1"/>
  <c r="F147" i="3"/>
  <c r="I147" i="3" s="1"/>
  <c r="F146" i="3"/>
  <c r="I146" i="3" s="1"/>
  <c r="F145" i="3"/>
  <c r="I145" i="3" s="1"/>
  <c r="F144" i="3"/>
  <c r="I144" i="3" s="1"/>
  <c r="F143" i="3"/>
  <c r="I143" i="3" s="1"/>
  <c r="F142" i="3"/>
  <c r="I142" i="3" s="1"/>
  <c r="F141" i="3"/>
  <c r="I141" i="3" s="1"/>
  <c r="F140" i="3"/>
  <c r="I140" i="3" s="1"/>
  <c r="F139" i="3"/>
  <c r="I139" i="3" s="1"/>
  <c r="F138" i="3"/>
  <c r="I138" i="3" s="1"/>
  <c r="F137" i="3"/>
  <c r="I137" i="3" s="1"/>
  <c r="F136" i="3"/>
  <c r="I136" i="3" s="1"/>
  <c r="F135" i="3"/>
  <c r="I135" i="3" s="1"/>
  <c r="F134" i="3"/>
  <c r="I134" i="3" s="1"/>
  <c r="F133" i="3"/>
  <c r="I133" i="3" s="1"/>
  <c r="F132" i="3"/>
  <c r="I132" i="3" s="1"/>
  <c r="F131" i="3"/>
  <c r="I131" i="3" s="1"/>
  <c r="F130" i="3"/>
  <c r="I130" i="3" s="1"/>
  <c r="F129" i="3"/>
  <c r="I129" i="3" s="1"/>
  <c r="F128" i="3"/>
  <c r="I128" i="3" s="1"/>
  <c r="F127" i="3"/>
  <c r="I127" i="3" s="1"/>
  <c r="F126" i="3"/>
  <c r="I126" i="3" s="1"/>
  <c r="F125" i="3"/>
  <c r="I125" i="3" s="1"/>
  <c r="F124" i="3"/>
  <c r="I124" i="3" s="1"/>
  <c r="F123" i="3"/>
  <c r="I123" i="3" s="1"/>
  <c r="F122" i="3"/>
  <c r="I122" i="3" s="1"/>
  <c r="F121" i="3"/>
  <c r="I121" i="3" s="1"/>
  <c r="F120" i="3"/>
  <c r="I120" i="3" s="1"/>
  <c r="F119" i="3"/>
  <c r="I119" i="3" s="1"/>
  <c r="F118" i="3"/>
  <c r="I118" i="3" s="1"/>
  <c r="F117" i="3"/>
  <c r="I117" i="3" s="1"/>
  <c r="F116" i="3"/>
  <c r="I116" i="3" s="1"/>
  <c r="F115" i="3"/>
  <c r="I115" i="3" s="1"/>
  <c r="F114" i="3"/>
  <c r="I114" i="3" s="1"/>
  <c r="F113" i="3"/>
  <c r="I113" i="3" s="1"/>
  <c r="F112" i="3"/>
  <c r="I112" i="3" s="1"/>
  <c r="F111" i="3"/>
  <c r="I111" i="3" s="1"/>
  <c r="F110" i="3"/>
  <c r="I110" i="3" s="1"/>
  <c r="F109" i="3"/>
  <c r="I109" i="3" s="1"/>
  <c r="F108" i="3"/>
  <c r="I108" i="3" s="1"/>
  <c r="F107" i="3"/>
  <c r="I107" i="3" s="1"/>
  <c r="F106" i="3"/>
  <c r="I106" i="3" s="1"/>
  <c r="F105" i="3"/>
  <c r="I105" i="3" s="1"/>
  <c r="F104" i="3"/>
  <c r="I104" i="3" s="1"/>
  <c r="F103" i="3"/>
  <c r="I103" i="3" s="1"/>
  <c r="F102" i="3"/>
  <c r="I102" i="3" s="1"/>
  <c r="F101" i="3"/>
  <c r="I101" i="3" s="1"/>
  <c r="F100" i="3"/>
  <c r="I100" i="3" s="1"/>
  <c r="F99" i="3"/>
  <c r="I99" i="3" s="1"/>
  <c r="F98" i="3"/>
  <c r="I98" i="3" s="1"/>
  <c r="F97" i="3"/>
  <c r="I97" i="3" s="1"/>
  <c r="F96" i="3"/>
  <c r="I96" i="3" s="1"/>
  <c r="F95" i="3"/>
  <c r="I95" i="3" s="1"/>
  <c r="F94" i="3"/>
  <c r="I94" i="3" s="1"/>
  <c r="F93" i="3"/>
  <c r="I93" i="3" s="1"/>
  <c r="F92" i="3"/>
  <c r="I92" i="3" s="1"/>
  <c r="F91" i="3"/>
  <c r="I91" i="3" s="1"/>
  <c r="F90" i="3"/>
  <c r="I90" i="3" s="1"/>
  <c r="F89" i="3"/>
  <c r="I89" i="3" s="1"/>
  <c r="F88" i="3"/>
  <c r="I88" i="3" s="1"/>
  <c r="F87" i="3"/>
  <c r="I87" i="3" s="1"/>
  <c r="F86" i="3"/>
  <c r="I86" i="3" s="1"/>
  <c r="F85" i="3"/>
  <c r="I85" i="3" s="1"/>
  <c r="F84" i="3"/>
  <c r="I84" i="3" s="1"/>
  <c r="F83" i="3"/>
  <c r="I83" i="3" s="1"/>
  <c r="F82" i="3"/>
  <c r="I82" i="3" s="1"/>
  <c r="F81" i="3"/>
  <c r="I81" i="3" s="1"/>
  <c r="F80" i="3"/>
  <c r="I80" i="3" s="1"/>
  <c r="F79" i="3"/>
  <c r="I79" i="3" s="1"/>
  <c r="F78" i="3"/>
  <c r="I78" i="3" s="1"/>
  <c r="F77" i="3"/>
  <c r="I77" i="3" s="1"/>
  <c r="F76" i="3"/>
  <c r="I76" i="3" s="1"/>
  <c r="F75" i="3"/>
  <c r="I75" i="3" s="1"/>
  <c r="F74" i="3"/>
  <c r="I74" i="3" s="1"/>
  <c r="F73" i="3"/>
  <c r="I73" i="3" s="1"/>
  <c r="F72" i="3"/>
  <c r="I72" i="3" s="1"/>
  <c r="F71" i="3"/>
  <c r="I71" i="3" s="1"/>
  <c r="F70" i="3"/>
  <c r="I70" i="3" s="1"/>
  <c r="F69" i="3"/>
  <c r="I69" i="3" s="1"/>
  <c r="F68" i="3"/>
  <c r="I68" i="3" s="1"/>
  <c r="F67" i="3"/>
  <c r="I67" i="3" s="1"/>
  <c r="F66" i="3"/>
  <c r="I66" i="3" s="1"/>
  <c r="F65" i="3"/>
  <c r="I65" i="3" s="1"/>
  <c r="F64" i="3"/>
  <c r="I64" i="3" s="1"/>
  <c r="F63" i="3"/>
  <c r="I63" i="3" s="1"/>
  <c r="F62" i="3"/>
  <c r="I62" i="3" s="1"/>
  <c r="F61" i="3"/>
  <c r="I61" i="3" s="1"/>
  <c r="F60" i="3"/>
  <c r="I60" i="3" s="1"/>
  <c r="F59" i="3"/>
  <c r="I59" i="3" s="1"/>
  <c r="F58" i="3"/>
  <c r="I58" i="3" s="1"/>
  <c r="F57" i="3"/>
  <c r="I57" i="3" s="1"/>
  <c r="F56" i="3"/>
  <c r="I56" i="3" s="1"/>
  <c r="F55" i="3"/>
  <c r="I55" i="3" s="1"/>
  <c r="F54" i="3"/>
  <c r="I54" i="3" s="1"/>
  <c r="F53" i="3"/>
  <c r="I53" i="3" s="1"/>
  <c r="F52" i="3"/>
  <c r="I52" i="3" s="1"/>
  <c r="F51" i="3"/>
  <c r="I51" i="3" s="1"/>
  <c r="F50" i="3"/>
  <c r="I50" i="3" s="1"/>
  <c r="F49" i="3"/>
  <c r="I49" i="3" s="1"/>
  <c r="F48" i="3"/>
  <c r="I48" i="3" s="1"/>
  <c r="F47" i="3"/>
  <c r="I47" i="3" s="1"/>
  <c r="F46" i="3"/>
  <c r="I46" i="3" s="1"/>
  <c r="F45" i="3"/>
  <c r="I45" i="3" s="1"/>
  <c r="F44" i="3"/>
  <c r="I44" i="3" s="1"/>
  <c r="F43" i="3"/>
  <c r="I43" i="3" s="1"/>
  <c r="F42" i="3"/>
  <c r="I42" i="3" s="1"/>
  <c r="F41" i="3"/>
  <c r="I41" i="3" s="1"/>
  <c r="F40" i="3"/>
  <c r="I40" i="3" s="1"/>
  <c r="F39" i="3"/>
  <c r="I39" i="3" s="1"/>
  <c r="F38" i="3"/>
  <c r="I38" i="3" s="1"/>
  <c r="F37" i="3"/>
  <c r="I37" i="3" s="1"/>
  <c r="F36" i="3"/>
  <c r="I36" i="3" s="1"/>
  <c r="F35" i="3"/>
  <c r="I35" i="3" s="1"/>
  <c r="F34" i="3"/>
  <c r="I34" i="3" s="1"/>
  <c r="F33" i="3"/>
  <c r="I33" i="3" s="1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6" i="3"/>
  <c r="I26" i="3" s="1"/>
  <c r="F25" i="3"/>
  <c r="I25" i="3" s="1"/>
  <c r="F24" i="3"/>
  <c r="I24" i="3" s="1"/>
  <c r="F23" i="3"/>
  <c r="I23" i="3" s="1"/>
  <c r="F22" i="3"/>
  <c r="I22" i="3" s="1"/>
  <c r="F21" i="3"/>
  <c r="I21" i="3" s="1"/>
  <c r="F20" i="3"/>
  <c r="I20" i="3" s="1"/>
  <c r="F19" i="3"/>
  <c r="I19" i="3" s="1"/>
  <c r="F18" i="3"/>
  <c r="I18" i="3" s="1"/>
  <c r="F17" i="3"/>
  <c r="I17" i="3" s="1"/>
  <c r="F16" i="3"/>
  <c r="I16" i="3" s="1"/>
  <c r="F15" i="3"/>
  <c r="I15" i="3" s="1"/>
  <c r="F14" i="3"/>
  <c r="I14" i="3" s="1"/>
  <c r="F13" i="3"/>
  <c r="I13" i="3" s="1"/>
  <c r="F12" i="3"/>
  <c r="I12" i="3" s="1"/>
  <c r="F11" i="3"/>
  <c r="I11" i="3" s="1"/>
  <c r="F10" i="3"/>
  <c r="I10" i="3" s="1"/>
  <c r="F9" i="3"/>
  <c r="I9" i="3" s="1"/>
  <c r="F8" i="3"/>
  <c r="I8" i="3" s="1"/>
  <c r="F7" i="3"/>
  <c r="I7" i="3" s="1"/>
  <c r="F6" i="3"/>
  <c r="U88" i="3" s="1"/>
  <c r="F5" i="3"/>
  <c r="I5" i="3" s="1"/>
  <c r="F4" i="3"/>
  <c r="I4" i="3" s="1"/>
  <c r="F3" i="3"/>
  <c r="I3" i="3" s="1"/>
  <c r="AJ3" i="3"/>
  <c r="B28" i="5"/>
  <c r="B30" i="5" s="1"/>
  <c r="B32" i="5" s="1"/>
  <c r="B34" i="5" s="1"/>
  <c r="B36" i="5" s="1"/>
  <c r="B38" i="5" s="1"/>
  <c r="B40" i="5" s="1"/>
  <c r="B42" i="5" s="1"/>
  <c r="B44" i="5" s="1"/>
  <c r="B46" i="5" s="1"/>
  <c r="AC16" i="3"/>
  <c r="AC15" i="3"/>
  <c r="AD15" i="3" s="1"/>
  <c r="AC3" i="3"/>
  <c r="S38" i="3"/>
  <c r="T38" i="3" s="1"/>
  <c r="S43" i="3"/>
  <c r="T43" i="3" s="1"/>
  <c r="X4" i="3"/>
  <c r="AC18" i="3" s="1"/>
  <c r="AC17" i="3" s="1"/>
  <c r="I6" i="3" l="1"/>
  <c r="S88" i="3"/>
  <c r="T88" i="3" s="1"/>
  <c r="U87" i="3"/>
  <c r="S87" i="3"/>
  <c r="T87" i="3" s="1"/>
  <c r="U89" i="3"/>
  <c r="S89" i="3"/>
  <c r="T89" i="3" s="1"/>
  <c r="U90" i="3"/>
  <c r="S90" i="3"/>
  <c r="T90" i="3" s="1"/>
  <c r="U91" i="3"/>
  <c r="S91" i="3"/>
  <c r="T91" i="3" s="1"/>
  <c r="U92" i="3"/>
  <c r="S92" i="3"/>
  <c r="T92" i="3" s="1"/>
  <c r="U81" i="3"/>
  <c r="S81" i="3"/>
  <c r="T81" i="3" s="1"/>
  <c r="U82" i="3"/>
  <c r="S82" i="3"/>
  <c r="T82" i="3" s="1"/>
  <c r="AC8" i="3"/>
  <c r="U83" i="3"/>
  <c r="S83" i="3"/>
  <c r="T83" i="3" s="1"/>
  <c r="AC10" i="3"/>
  <c r="U84" i="3"/>
  <c r="S84" i="3"/>
  <c r="T84" i="3" s="1"/>
  <c r="U85" i="3"/>
  <c r="S85" i="3"/>
  <c r="T85" i="3" s="1"/>
  <c r="U86" i="3"/>
  <c r="S86" i="3"/>
  <c r="T86" i="3" s="1"/>
  <c r="S56" i="3"/>
  <c r="T56" i="3" s="1"/>
  <c r="U55" i="3"/>
  <c r="U56" i="3"/>
  <c r="S55" i="3"/>
  <c r="T55" i="3" s="1"/>
  <c r="H99" i="3"/>
  <c r="L99" i="3" s="1"/>
  <c r="H7" i="3"/>
  <c r="L7" i="3" s="1"/>
  <c r="H55" i="3"/>
  <c r="L55" i="3" s="1"/>
  <c r="H103" i="3"/>
  <c r="L103" i="3" s="1"/>
  <c r="H151" i="3"/>
  <c r="L151" i="3" s="1"/>
  <c r="H199" i="3"/>
  <c r="L199" i="3" s="1"/>
  <c r="H247" i="3"/>
  <c r="L247" i="3" s="1"/>
  <c r="H243" i="3"/>
  <c r="L243" i="3" s="1"/>
  <c r="H11" i="3"/>
  <c r="L11" i="3" s="1"/>
  <c r="H59" i="3"/>
  <c r="L59" i="3" s="1"/>
  <c r="H107" i="3"/>
  <c r="L107" i="3" s="1"/>
  <c r="H155" i="3"/>
  <c r="L155" i="3" s="1"/>
  <c r="H203" i="3"/>
  <c r="L203" i="3" s="1"/>
  <c r="H251" i="3"/>
  <c r="L251" i="3" s="1"/>
  <c r="H147" i="3"/>
  <c r="L147" i="3" s="1"/>
  <c r="H15" i="3"/>
  <c r="L15" i="3" s="1"/>
  <c r="H63" i="3"/>
  <c r="L63" i="3" s="1"/>
  <c r="H111" i="3"/>
  <c r="L111" i="3" s="1"/>
  <c r="H159" i="3"/>
  <c r="L159" i="3" s="1"/>
  <c r="H207" i="3"/>
  <c r="L207" i="3" s="1"/>
  <c r="H255" i="3"/>
  <c r="L255" i="3" s="1"/>
  <c r="H51" i="3"/>
  <c r="L51" i="3" s="1"/>
  <c r="H19" i="3"/>
  <c r="L19" i="3" s="1"/>
  <c r="H67" i="3"/>
  <c r="L67" i="3" s="1"/>
  <c r="H115" i="3"/>
  <c r="L115" i="3" s="1"/>
  <c r="H163" i="3"/>
  <c r="L163" i="3" s="1"/>
  <c r="H211" i="3"/>
  <c r="L211" i="3" s="1"/>
  <c r="H259" i="3"/>
  <c r="L259" i="3" s="1"/>
  <c r="H23" i="3"/>
  <c r="L23" i="3" s="1"/>
  <c r="H71" i="3"/>
  <c r="L71" i="3" s="1"/>
  <c r="H119" i="3"/>
  <c r="L119" i="3" s="1"/>
  <c r="H167" i="3"/>
  <c r="L167" i="3" s="1"/>
  <c r="H215" i="3"/>
  <c r="L215" i="3" s="1"/>
  <c r="H263" i="3"/>
  <c r="L263" i="3" s="1"/>
  <c r="H27" i="3"/>
  <c r="L27" i="3" s="1"/>
  <c r="H75" i="3"/>
  <c r="L75" i="3" s="1"/>
  <c r="H123" i="3"/>
  <c r="L123" i="3" s="1"/>
  <c r="H171" i="3"/>
  <c r="L171" i="3" s="1"/>
  <c r="H219" i="3"/>
  <c r="L219" i="3" s="1"/>
  <c r="H267" i="3"/>
  <c r="L267" i="3" s="1"/>
  <c r="H31" i="3"/>
  <c r="L31" i="3" s="1"/>
  <c r="H79" i="3"/>
  <c r="L79" i="3" s="1"/>
  <c r="H127" i="3"/>
  <c r="L127" i="3" s="1"/>
  <c r="H175" i="3"/>
  <c r="L175" i="3" s="1"/>
  <c r="H223" i="3"/>
  <c r="L223" i="3" s="1"/>
  <c r="H271" i="3"/>
  <c r="L271" i="3" s="1"/>
  <c r="H3" i="3"/>
  <c r="L3" i="3" s="1"/>
  <c r="H35" i="3"/>
  <c r="L35" i="3" s="1"/>
  <c r="H83" i="3"/>
  <c r="L83" i="3" s="1"/>
  <c r="H131" i="3"/>
  <c r="L131" i="3" s="1"/>
  <c r="H179" i="3"/>
  <c r="L179" i="3" s="1"/>
  <c r="H227" i="3"/>
  <c r="L227" i="3" s="1"/>
  <c r="H275" i="3"/>
  <c r="L275" i="3" s="1"/>
  <c r="H195" i="3"/>
  <c r="L195" i="3" s="1"/>
  <c r="H39" i="3"/>
  <c r="L39" i="3" s="1"/>
  <c r="H87" i="3"/>
  <c r="L87" i="3" s="1"/>
  <c r="H135" i="3"/>
  <c r="L135" i="3" s="1"/>
  <c r="H183" i="3"/>
  <c r="L183" i="3" s="1"/>
  <c r="H231" i="3"/>
  <c r="L231" i="3" s="1"/>
  <c r="H279" i="3"/>
  <c r="L279" i="3" s="1"/>
  <c r="H43" i="3"/>
  <c r="L43" i="3" s="1"/>
  <c r="H91" i="3"/>
  <c r="L91" i="3" s="1"/>
  <c r="H139" i="3"/>
  <c r="L139" i="3" s="1"/>
  <c r="H187" i="3"/>
  <c r="L187" i="3" s="1"/>
  <c r="H235" i="3"/>
  <c r="L235" i="3" s="1"/>
  <c r="H283" i="3"/>
  <c r="L283" i="3" s="1"/>
  <c r="H47" i="3"/>
  <c r="L47" i="3" s="1"/>
  <c r="H95" i="3"/>
  <c r="L95" i="3" s="1"/>
  <c r="H143" i="3"/>
  <c r="L143" i="3" s="1"/>
  <c r="H191" i="3"/>
  <c r="L191" i="3" s="1"/>
  <c r="H239" i="3"/>
  <c r="L239" i="3" s="1"/>
  <c r="H287" i="3"/>
  <c r="L287" i="3" s="1"/>
  <c r="G3" i="3"/>
  <c r="G7" i="3"/>
  <c r="G11" i="3"/>
  <c r="G15" i="3"/>
  <c r="G19" i="3"/>
  <c r="G23" i="3"/>
  <c r="G27" i="3"/>
  <c r="G31" i="3"/>
  <c r="G35" i="3"/>
  <c r="G39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G255" i="3"/>
  <c r="G259" i="3"/>
  <c r="G263" i="3"/>
  <c r="G267" i="3"/>
  <c r="G271" i="3"/>
  <c r="G275" i="3"/>
  <c r="G279" i="3"/>
  <c r="G283" i="3"/>
  <c r="G287" i="3"/>
  <c r="G4" i="3"/>
  <c r="G8" i="3"/>
  <c r="G12" i="3"/>
  <c r="G16" i="3"/>
  <c r="G20" i="3"/>
  <c r="G24" i="3"/>
  <c r="G28" i="3"/>
  <c r="G32" i="3"/>
  <c r="G36" i="3"/>
  <c r="G40" i="3"/>
  <c r="G44" i="3"/>
  <c r="G48" i="3"/>
  <c r="G52" i="3"/>
  <c r="G56" i="3"/>
  <c r="G60" i="3"/>
  <c r="G64" i="3"/>
  <c r="G68" i="3"/>
  <c r="G72" i="3"/>
  <c r="G76" i="3"/>
  <c r="G80" i="3"/>
  <c r="G84" i="3"/>
  <c r="G88" i="3"/>
  <c r="G92" i="3"/>
  <c r="G96" i="3"/>
  <c r="G100" i="3"/>
  <c r="G104" i="3"/>
  <c r="G108" i="3"/>
  <c r="G112" i="3"/>
  <c r="G116" i="3"/>
  <c r="G120" i="3"/>
  <c r="G124" i="3"/>
  <c r="G128" i="3"/>
  <c r="G132" i="3"/>
  <c r="G136" i="3"/>
  <c r="G140" i="3"/>
  <c r="G144" i="3"/>
  <c r="G148" i="3"/>
  <c r="G152" i="3"/>
  <c r="G156" i="3"/>
  <c r="G160" i="3"/>
  <c r="G164" i="3"/>
  <c r="G168" i="3"/>
  <c r="G172" i="3"/>
  <c r="G176" i="3"/>
  <c r="G180" i="3"/>
  <c r="G184" i="3"/>
  <c r="G188" i="3"/>
  <c r="G192" i="3"/>
  <c r="G196" i="3"/>
  <c r="G200" i="3"/>
  <c r="G204" i="3"/>
  <c r="G208" i="3"/>
  <c r="G212" i="3"/>
  <c r="G216" i="3"/>
  <c r="G220" i="3"/>
  <c r="G224" i="3"/>
  <c r="G228" i="3"/>
  <c r="G232" i="3"/>
  <c r="G236" i="3"/>
  <c r="G240" i="3"/>
  <c r="G244" i="3"/>
  <c r="G248" i="3"/>
  <c r="G252" i="3"/>
  <c r="G256" i="3"/>
  <c r="G260" i="3"/>
  <c r="G264" i="3"/>
  <c r="G268" i="3"/>
  <c r="G272" i="3"/>
  <c r="G276" i="3"/>
  <c r="G280" i="3"/>
  <c r="G284" i="3"/>
  <c r="G288" i="3"/>
  <c r="H4" i="3"/>
  <c r="L4" i="3" s="1"/>
  <c r="H8" i="3"/>
  <c r="L8" i="3" s="1"/>
  <c r="H12" i="3"/>
  <c r="L12" i="3" s="1"/>
  <c r="H16" i="3"/>
  <c r="L16" i="3" s="1"/>
  <c r="H20" i="3"/>
  <c r="L20" i="3" s="1"/>
  <c r="H24" i="3"/>
  <c r="L24" i="3" s="1"/>
  <c r="H28" i="3"/>
  <c r="L28" i="3" s="1"/>
  <c r="H32" i="3"/>
  <c r="L32" i="3" s="1"/>
  <c r="H36" i="3"/>
  <c r="L36" i="3" s="1"/>
  <c r="H40" i="3"/>
  <c r="L40" i="3" s="1"/>
  <c r="H44" i="3"/>
  <c r="L44" i="3" s="1"/>
  <c r="H48" i="3"/>
  <c r="L48" i="3" s="1"/>
  <c r="H52" i="3"/>
  <c r="L52" i="3" s="1"/>
  <c r="H56" i="3"/>
  <c r="L56" i="3" s="1"/>
  <c r="H60" i="3"/>
  <c r="L60" i="3" s="1"/>
  <c r="H64" i="3"/>
  <c r="L64" i="3" s="1"/>
  <c r="H68" i="3"/>
  <c r="L68" i="3" s="1"/>
  <c r="H72" i="3"/>
  <c r="L72" i="3" s="1"/>
  <c r="H76" i="3"/>
  <c r="L76" i="3" s="1"/>
  <c r="H80" i="3"/>
  <c r="L80" i="3" s="1"/>
  <c r="H84" i="3"/>
  <c r="L84" i="3" s="1"/>
  <c r="H88" i="3"/>
  <c r="L88" i="3" s="1"/>
  <c r="H92" i="3"/>
  <c r="L92" i="3" s="1"/>
  <c r="H96" i="3"/>
  <c r="L96" i="3" s="1"/>
  <c r="H100" i="3"/>
  <c r="L100" i="3" s="1"/>
  <c r="H104" i="3"/>
  <c r="L104" i="3" s="1"/>
  <c r="H108" i="3"/>
  <c r="L108" i="3" s="1"/>
  <c r="H112" i="3"/>
  <c r="L112" i="3" s="1"/>
  <c r="H116" i="3"/>
  <c r="L116" i="3" s="1"/>
  <c r="H120" i="3"/>
  <c r="L120" i="3" s="1"/>
  <c r="H124" i="3"/>
  <c r="L124" i="3" s="1"/>
  <c r="H128" i="3"/>
  <c r="L128" i="3" s="1"/>
  <c r="H132" i="3"/>
  <c r="L132" i="3" s="1"/>
  <c r="H136" i="3"/>
  <c r="L136" i="3" s="1"/>
  <c r="H140" i="3"/>
  <c r="L140" i="3" s="1"/>
  <c r="H144" i="3"/>
  <c r="L144" i="3" s="1"/>
  <c r="H148" i="3"/>
  <c r="L148" i="3" s="1"/>
  <c r="H152" i="3"/>
  <c r="L152" i="3" s="1"/>
  <c r="H156" i="3"/>
  <c r="L156" i="3" s="1"/>
  <c r="H160" i="3"/>
  <c r="L160" i="3" s="1"/>
  <c r="H164" i="3"/>
  <c r="L164" i="3" s="1"/>
  <c r="H168" i="3"/>
  <c r="L168" i="3" s="1"/>
  <c r="H172" i="3"/>
  <c r="L172" i="3" s="1"/>
  <c r="H176" i="3"/>
  <c r="L176" i="3" s="1"/>
  <c r="H180" i="3"/>
  <c r="L180" i="3" s="1"/>
  <c r="H184" i="3"/>
  <c r="L184" i="3" s="1"/>
  <c r="H188" i="3"/>
  <c r="L188" i="3" s="1"/>
  <c r="H192" i="3"/>
  <c r="L192" i="3" s="1"/>
  <c r="H196" i="3"/>
  <c r="L196" i="3" s="1"/>
  <c r="H200" i="3"/>
  <c r="L200" i="3" s="1"/>
  <c r="H204" i="3"/>
  <c r="L204" i="3" s="1"/>
  <c r="H208" i="3"/>
  <c r="L208" i="3" s="1"/>
  <c r="H212" i="3"/>
  <c r="L212" i="3" s="1"/>
  <c r="H216" i="3"/>
  <c r="L216" i="3" s="1"/>
  <c r="H220" i="3"/>
  <c r="L220" i="3" s="1"/>
  <c r="H224" i="3"/>
  <c r="L224" i="3" s="1"/>
  <c r="H228" i="3"/>
  <c r="L228" i="3" s="1"/>
  <c r="H232" i="3"/>
  <c r="L232" i="3" s="1"/>
  <c r="H236" i="3"/>
  <c r="L236" i="3" s="1"/>
  <c r="H240" i="3"/>
  <c r="L240" i="3" s="1"/>
  <c r="H244" i="3"/>
  <c r="L244" i="3" s="1"/>
  <c r="H248" i="3"/>
  <c r="L248" i="3" s="1"/>
  <c r="H252" i="3"/>
  <c r="L252" i="3" s="1"/>
  <c r="H256" i="3"/>
  <c r="L256" i="3" s="1"/>
  <c r="H260" i="3"/>
  <c r="L260" i="3" s="1"/>
  <c r="H264" i="3"/>
  <c r="L264" i="3" s="1"/>
  <c r="H268" i="3"/>
  <c r="L268" i="3" s="1"/>
  <c r="H272" i="3"/>
  <c r="L272" i="3" s="1"/>
  <c r="H276" i="3"/>
  <c r="L276" i="3" s="1"/>
  <c r="H280" i="3"/>
  <c r="L280" i="3" s="1"/>
  <c r="H284" i="3"/>
  <c r="L284" i="3" s="1"/>
  <c r="H288" i="3"/>
  <c r="L288" i="3" s="1"/>
  <c r="G5" i="3"/>
  <c r="G9" i="3"/>
  <c r="G13" i="3"/>
  <c r="G17" i="3"/>
  <c r="G21" i="3"/>
  <c r="G25" i="3"/>
  <c r="G29" i="3"/>
  <c r="G33" i="3"/>
  <c r="G37" i="3"/>
  <c r="G41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101" i="3"/>
  <c r="G105" i="3"/>
  <c r="G109" i="3"/>
  <c r="G113" i="3"/>
  <c r="G117" i="3"/>
  <c r="G121" i="3"/>
  <c r="G125" i="3"/>
  <c r="G129" i="3"/>
  <c r="G133" i="3"/>
  <c r="G137" i="3"/>
  <c r="G141" i="3"/>
  <c r="G145" i="3"/>
  <c r="G149" i="3"/>
  <c r="G153" i="3"/>
  <c r="G157" i="3"/>
  <c r="G161" i="3"/>
  <c r="G165" i="3"/>
  <c r="G169" i="3"/>
  <c r="G173" i="3"/>
  <c r="G177" i="3"/>
  <c r="G181" i="3"/>
  <c r="G185" i="3"/>
  <c r="G189" i="3"/>
  <c r="G193" i="3"/>
  <c r="G197" i="3"/>
  <c r="G201" i="3"/>
  <c r="G205" i="3"/>
  <c r="G209" i="3"/>
  <c r="G213" i="3"/>
  <c r="G217" i="3"/>
  <c r="G221" i="3"/>
  <c r="G225" i="3"/>
  <c r="G229" i="3"/>
  <c r="G233" i="3"/>
  <c r="G237" i="3"/>
  <c r="G241" i="3"/>
  <c r="G245" i="3"/>
  <c r="G249" i="3"/>
  <c r="G253" i="3"/>
  <c r="G257" i="3"/>
  <c r="G261" i="3"/>
  <c r="G265" i="3"/>
  <c r="G269" i="3"/>
  <c r="G273" i="3"/>
  <c r="G277" i="3"/>
  <c r="G281" i="3"/>
  <c r="G285" i="3"/>
  <c r="G289" i="3"/>
  <c r="H5" i="3"/>
  <c r="L5" i="3" s="1"/>
  <c r="H9" i="3"/>
  <c r="L9" i="3" s="1"/>
  <c r="H13" i="3"/>
  <c r="L13" i="3" s="1"/>
  <c r="H17" i="3"/>
  <c r="L17" i="3" s="1"/>
  <c r="H21" i="3"/>
  <c r="L21" i="3" s="1"/>
  <c r="H25" i="3"/>
  <c r="L25" i="3" s="1"/>
  <c r="H29" i="3"/>
  <c r="L29" i="3" s="1"/>
  <c r="H33" i="3"/>
  <c r="L33" i="3" s="1"/>
  <c r="H37" i="3"/>
  <c r="L37" i="3" s="1"/>
  <c r="H41" i="3"/>
  <c r="L41" i="3" s="1"/>
  <c r="H45" i="3"/>
  <c r="L45" i="3" s="1"/>
  <c r="H49" i="3"/>
  <c r="L49" i="3" s="1"/>
  <c r="H53" i="3"/>
  <c r="L53" i="3" s="1"/>
  <c r="H57" i="3"/>
  <c r="L57" i="3" s="1"/>
  <c r="H61" i="3"/>
  <c r="L61" i="3" s="1"/>
  <c r="H65" i="3"/>
  <c r="L65" i="3" s="1"/>
  <c r="H69" i="3"/>
  <c r="L69" i="3" s="1"/>
  <c r="H73" i="3"/>
  <c r="L73" i="3" s="1"/>
  <c r="H77" i="3"/>
  <c r="L77" i="3" s="1"/>
  <c r="H81" i="3"/>
  <c r="L81" i="3" s="1"/>
  <c r="H85" i="3"/>
  <c r="L85" i="3" s="1"/>
  <c r="H89" i="3"/>
  <c r="L89" i="3" s="1"/>
  <c r="H93" i="3"/>
  <c r="L93" i="3" s="1"/>
  <c r="H97" i="3"/>
  <c r="L97" i="3" s="1"/>
  <c r="H101" i="3"/>
  <c r="L101" i="3" s="1"/>
  <c r="H105" i="3"/>
  <c r="L105" i="3" s="1"/>
  <c r="H109" i="3"/>
  <c r="L109" i="3" s="1"/>
  <c r="H113" i="3"/>
  <c r="L113" i="3" s="1"/>
  <c r="H117" i="3"/>
  <c r="L117" i="3" s="1"/>
  <c r="H121" i="3"/>
  <c r="L121" i="3" s="1"/>
  <c r="H125" i="3"/>
  <c r="L125" i="3" s="1"/>
  <c r="H129" i="3"/>
  <c r="L129" i="3" s="1"/>
  <c r="H133" i="3"/>
  <c r="L133" i="3" s="1"/>
  <c r="H137" i="3"/>
  <c r="L137" i="3" s="1"/>
  <c r="H141" i="3"/>
  <c r="L141" i="3" s="1"/>
  <c r="H145" i="3"/>
  <c r="L145" i="3" s="1"/>
  <c r="H149" i="3"/>
  <c r="L149" i="3" s="1"/>
  <c r="H153" i="3"/>
  <c r="L153" i="3" s="1"/>
  <c r="H157" i="3"/>
  <c r="L157" i="3" s="1"/>
  <c r="H161" i="3"/>
  <c r="L161" i="3" s="1"/>
  <c r="H165" i="3"/>
  <c r="L165" i="3" s="1"/>
  <c r="H169" i="3"/>
  <c r="L169" i="3" s="1"/>
  <c r="H173" i="3"/>
  <c r="L173" i="3" s="1"/>
  <c r="H177" i="3"/>
  <c r="L177" i="3" s="1"/>
  <c r="H181" i="3"/>
  <c r="L181" i="3" s="1"/>
  <c r="H185" i="3"/>
  <c r="L185" i="3" s="1"/>
  <c r="H189" i="3"/>
  <c r="L189" i="3" s="1"/>
  <c r="H193" i="3"/>
  <c r="L193" i="3" s="1"/>
  <c r="H197" i="3"/>
  <c r="L197" i="3" s="1"/>
  <c r="H201" i="3"/>
  <c r="L201" i="3" s="1"/>
  <c r="H205" i="3"/>
  <c r="L205" i="3" s="1"/>
  <c r="H209" i="3"/>
  <c r="L209" i="3" s="1"/>
  <c r="H213" i="3"/>
  <c r="L213" i="3" s="1"/>
  <c r="H217" i="3"/>
  <c r="L217" i="3" s="1"/>
  <c r="H221" i="3"/>
  <c r="L221" i="3" s="1"/>
  <c r="H225" i="3"/>
  <c r="L225" i="3" s="1"/>
  <c r="H229" i="3"/>
  <c r="L229" i="3" s="1"/>
  <c r="H233" i="3"/>
  <c r="L233" i="3" s="1"/>
  <c r="H237" i="3"/>
  <c r="L237" i="3" s="1"/>
  <c r="H241" i="3"/>
  <c r="L241" i="3" s="1"/>
  <c r="H245" i="3"/>
  <c r="L245" i="3" s="1"/>
  <c r="H249" i="3"/>
  <c r="L249" i="3" s="1"/>
  <c r="H253" i="3"/>
  <c r="L253" i="3" s="1"/>
  <c r="H257" i="3"/>
  <c r="L257" i="3" s="1"/>
  <c r="H261" i="3"/>
  <c r="L261" i="3" s="1"/>
  <c r="H265" i="3"/>
  <c r="L265" i="3" s="1"/>
  <c r="H269" i="3"/>
  <c r="L269" i="3" s="1"/>
  <c r="H273" i="3"/>
  <c r="L273" i="3" s="1"/>
  <c r="H277" i="3"/>
  <c r="L277" i="3" s="1"/>
  <c r="H281" i="3"/>
  <c r="L281" i="3" s="1"/>
  <c r="H285" i="3"/>
  <c r="L285" i="3" s="1"/>
  <c r="H289" i="3"/>
  <c r="L289" i="3" s="1"/>
  <c r="G6" i="3"/>
  <c r="G10" i="3"/>
  <c r="G14" i="3"/>
  <c r="G18" i="3"/>
  <c r="G22" i="3"/>
  <c r="G26" i="3"/>
  <c r="G30" i="3"/>
  <c r="G34" i="3"/>
  <c r="G38" i="3"/>
  <c r="G42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G98" i="3"/>
  <c r="G102" i="3"/>
  <c r="G106" i="3"/>
  <c r="G110" i="3"/>
  <c r="G114" i="3"/>
  <c r="G118" i="3"/>
  <c r="G122" i="3"/>
  <c r="G126" i="3"/>
  <c r="G130" i="3"/>
  <c r="G134" i="3"/>
  <c r="G138" i="3"/>
  <c r="G142" i="3"/>
  <c r="G146" i="3"/>
  <c r="G150" i="3"/>
  <c r="G154" i="3"/>
  <c r="G158" i="3"/>
  <c r="G162" i="3"/>
  <c r="G166" i="3"/>
  <c r="G170" i="3"/>
  <c r="G174" i="3"/>
  <c r="G178" i="3"/>
  <c r="G182" i="3"/>
  <c r="G186" i="3"/>
  <c r="G190" i="3"/>
  <c r="G194" i="3"/>
  <c r="G198" i="3"/>
  <c r="G202" i="3"/>
  <c r="G206" i="3"/>
  <c r="G210" i="3"/>
  <c r="G214" i="3"/>
  <c r="G218" i="3"/>
  <c r="G222" i="3"/>
  <c r="G226" i="3"/>
  <c r="G230" i="3"/>
  <c r="G234" i="3"/>
  <c r="G238" i="3"/>
  <c r="G242" i="3"/>
  <c r="G246" i="3"/>
  <c r="G250" i="3"/>
  <c r="G254" i="3"/>
  <c r="G258" i="3"/>
  <c r="G262" i="3"/>
  <c r="G266" i="3"/>
  <c r="G270" i="3"/>
  <c r="G274" i="3"/>
  <c r="G278" i="3"/>
  <c r="G282" i="3"/>
  <c r="G286" i="3"/>
  <c r="G290" i="3"/>
  <c r="H6" i="3"/>
  <c r="L6" i="3" s="1"/>
  <c r="H10" i="3"/>
  <c r="L10" i="3" s="1"/>
  <c r="H14" i="3"/>
  <c r="L14" i="3" s="1"/>
  <c r="H18" i="3"/>
  <c r="L18" i="3" s="1"/>
  <c r="H22" i="3"/>
  <c r="L22" i="3" s="1"/>
  <c r="H26" i="3"/>
  <c r="L26" i="3" s="1"/>
  <c r="H30" i="3"/>
  <c r="L30" i="3" s="1"/>
  <c r="H34" i="3"/>
  <c r="L34" i="3" s="1"/>
  <c r="H38" i="3"/>
  <c r="L38" i="3" s="1"/>
  <c r="H42" i="3"/>
  <c r="L42" i="3" s="1"/>
  <c r="H46" i="3"/>
  <c r="L46" i="3" s="1"/>
  <c r="H50" i="3"/>
  <c r="L50" i="3" s="1"/>
  <c r="H54" i="3"/>
  <c r="L54" i="3" s="1"/>
  <c r="H58" i="3"/>
  <c r="L58" i="3" s="1"/>
  <c r="H62" i="3"/>
  <c r="L62" i="3" s="1"/>
  <c r="H66" i="3"/>
  <c r="L66" i="3" s="1"/>
  <c r="H70" i="3"/>
  <c r="L70" i="3" s="1"/>
  <c r="H74" i="3"/>
  <c r="L74" i="3" s="1"/>
  <c r="H78" i="3"/>
  <c r="L78" i="3" s="1"/>
  <c r="H82" i="3"/>
  <c r="L82" i="3" s="1"/>
  <c r="H86" i="3"/>
  <c r="L86" i="3" s="1"/>
  <c r="H90" i="3"/>
  <c r="L90" i="3" s="1"/>
  <c r="H94" i="3"/>
  <c r="L94" i="3" s="1"/>
  <c r="H98" i="3"/>
  <c r="L98" i="3" s="1"/>
  <c r="H102" i="3"/>
  <c r="L102" i="3" s="1"/>
  <c r="H106" i="3"/>
  <c r="L106" i="3" s="1"/>
  <c r="H110" i="3"/>
  <c r="L110" i="3" s="1"/>
  <c r="H114" i="3"/>
  <c r="L114" i="3" s="1"/>
  <c r="H118" i="3"/>
  <c r="L118" i="3" s="1"/>
  <c r="H122" i="3"/>
  <c r="L122" i="3" s="1"/>
  <c r="H126" i="3"/>
  <c r="L126" i="3" s="1"/>
  <c r="H130" i="3"/>
  <c r="L130" i="3" s="1"/>
  <c r="H134" i="3"/>
  <c r="L134" i="3" s="1"/>
  <c r="H138" i="3"/>
  <c r="L138" i="3" s="1"/>
  <c r="H142" i="3"/>
  <c r="L142" i="3" s="1"/>
  <c r="H146" i="3"/>
  <c r="L146" i="3" s="1"/>
  <c r="H150" i="3"/>
  <c r="L150" i="3" s="1"/>
  <c r="H154" i="3"/>
  <c r="L154" i="3" s="1"/>
  <c r="H158" i="3"/>
  <c r="L158" i="3" s="1"/>
  <c r="H162" i="3"/>
  <c r="L162" i="3" s="1"/>
  <c r="H166" i="3"/>
  <c r="L166" i="3" s="1"/>
  <c r="H170" i="3"/>
  <c r="L170" i="3" s="1"/>
  <c r="H174" i="3"/>
  <c r="L174" i="3" s="1"/>
  <c r="H178" i="3"/>
  <c r="L178" i="3" s="1"/>
  <c r="H182" i="3"/>
  <c r="L182" i="3" s="1"/>
  <c r="H186" i="3"/>
  <c r="L186" i="3" s="1"/>
  <c r="H190" i="3"/>
  <c r="L190" i="3" s="1"/>
  <c r="H194" i="3"/>
  <c r="L194" i="3" s="1"/>
  <c r="H198" i="3"/>
  <c r="L198" i="3" s="1"/>
  <c r="H202" i="3"/>
  <c r="L202" i="3" s="1"/>
  <c r="H206" i="3"/>
  <c r="L206" i="3" s="1"/>
  <c r="H210" i="3"/>
  <c r="L210" i="3" s="1"/>
  <c r="H214" i="3"/>
  <c r="L214" i="3" s="1"/>
  <c r="H218" i="3"/>
  <c r="L218" i="3" s="1"/>
  <c r="H222" i="3"/>
  <c r="L222" i="3" s="1"/>
  <c r="H226" i="3"/>
  <c r="L226" i="3" s="1"/>
  <c r="H230" i="3"/>
  <c r="L230" i="3" s="1"/>
  <c r="H234" i="3"/>
  <c r="L234" i="3" s="1"/>
  <c r="H238" i="3"/>
  <c r="L238" i="3" s="1"/>
  <c r="H242" i="3"/>
  <c r="L242" i="3" s="1"/>
  <c r="H246" i="3"/>
  <c r="L246" i="3" s="1"/>
  <c r="H250" i="3"/>
  <c r="L250" i="3" s="1"/>
  <c r="H254" i="3"/>
  <c r="L254" i="3" s="1"/>
  <c r="H258" i="3"/>
  <c r="L258" i="3" s="1"/>
  <c r="H262" i="3"/>
  <c r="L262" i="3" s="1"/>
  <c r="H266" i="3"/>
  <c r="L266" i="3" s="1"/>
  <c r="H270" i="3"/>
  <c r="L270" i="3" s="1"/>
  <c r="H274" i="3"/>
  <c r="L274" i="3" s="1"/>
  <c r="H278" i="3"/>
  <c r="L278" i="3" s="1"/>
  <c r="H282" i="3"/>
  <c r="L282" i="3" s="1"/>
  <c r="H286" i="3"/>
  <c r="L286" i="3" s="1"/>
  <c r="H290" i="3"/>
  <c r="L290" i="3" s="1"/>
  <c r="AB18" i="3"/>
  <c r="S42" i="3"/>
  <c r="T42" i="3" s="1"/>
  <c r="S32" i="3"/>
  <c r="T32" i="3" s="1"/>
  <c r="S33" i="3"/>
  <c r="T33" i="3" s="1"/>
  <c r="S34" i="3"/>
  <c r="T34" i="3" s="1"/>
  <c r="S35" i="3"/>
  <c r="T35" i="3" s="1"/>
  <c r="S36" i="3"/>
  <c r="T36" i="3" s="1"/>
  <c r="S37" i="3"/>
  <c r="T37" i="3" s="1"/>
  <c r="S39" i="3"/>
  <c r="T39" i="3" s="1"/>
  <c r="S40" i="3"/>
  <c r="T40" i="3" s="1"/>
  <c r="S41" i="3"/>
  <c r="T41" i="3" s="1"/>
  <c r="S6" i="3"/>
  <c r="T6" i="3" s="1"/>
  <c r="S7" i="3"/>
  <c r="T7" i="3" s="1"/>
  <c r="S8" i="3"/>
  <c r="T8" i="3" s="1"/>
  <c r="S9" i="3"/>
  <c r="T9" i="3" s="1"/>
  <c r="S10" i="3"/>
  <c r="T10" i="3" s="1"/>
  <c r="S11" i="3"/>
  <c r="T11" i="3" s="1"/>
  <c r="S12" i="3"/>
  <c r="T12" i="3" s="1"/>
  <c r="S14" i="3"/>
  <c r="T14" i="3" s="1"/>
  <c r="S15" i="3"/>
  <c r="T15" i="3" s="1"/>
  <c r="S4" i="3"/>
  <c r="T4" i="3" s="1"/>
  <c r="S13" i="3"/>
  <c r="T13" i="3" s="1"/>
  <c r="S5" i="3"/>
  <c r="T5" i="3" s="1"/>
  <c r="S18" i="3"/>
  <c r="T18" i="3" s="1"/>
  <c r="S19" i="3"/>
  <c r="T19" i="3" s="1"/>
  <c r="S20" i="3"/>
  <c r="T20" i="3" s="1"/>
  <c r="S22" i="3"/>
  <c r="T22" i="3" s="1"/>
  <c r="S23" i="3"/>
  <c r="T23" i="3" s="1"/>
  <c r="S24" i="3"/>
  <c r="T24" i="3" s="1"/>
  <c r="S26" i="3"/>
  <c r="T26" i="3" s="1"/>
  <c r="S21" i="3"/>
  <c r="T21" i="3" s="1"/>
  <c r="S27" i="3"/>
  <c r="T27" i="3" s="1"/>
  <c r="S28" i="3"/>
  <c r="T28" i="3" s="1"/>
  <c r="S25" i="3"/>
  <c r="T25" i="3" s="1"/>
  <c r="S29" i="3"/>
  <c r="T29" i="3" s="1"/>
  <c r="K162" i="3" l="1"/>
  <c r="J162" i="3"/>
  <c r="K18" i="3"/>
  <c r="J18" i="3"/>
  <c r="K161" i="3"/>
  <c r="J161" i="3"/>
  <c r="K17" i="3"/>
  <c r="J17" i="3"/>
  <c r="K208" i="3"/>
  <c r="J208" i="3"/>
  <c r="K112" i="3"/>
  <c r="J112" i="3"/>
  <c r="K255" i="3"/>
  <c r="J255" i="3"/>
  <c r="K111" i="3"/>
  <c r="J111" i="3"/>
  <c r="K15" i="3"/>
  <c r="J15" i="3"/>
  <c r="K202" i="3"/>
  <c r="J202" i="3"/>
  <c r="K10" i="3"/>
  <c r="J10" i="3"/>
  <c r="K201" i="3"/>
  <c r="J201" i="3"/>
  <c r="K9" i="3"/>
  <c r="J9" i="3"/>
  <c r="K104" i="3"/>
  <c r="J104" i="3"/>
  <c r="K55" i="3"/>
  <c r="J55" i="3"/>
  <c r="K262" i="3"/>
  <c r="J262" i="3"/>
  <c r="K214" i="3"/>
  <c r="J214" i="3"/>
  <c r="K166" i="3"/>
  <c r="J166" i="3"/>
  <c r="K118" i="3"/>
  <c r="J118" i="3"/>
  <c r="K70" i="3"/>
  <c r="J70" i="3"/>
  <c r="K22" i="3"/>
  <c r="J22" i="3"/>
  <c r="K261" i="3"/>
  <c r="J261" i="3"/>
  <c r="K213" i="3"/>
  <c r="J213" i="3"/>
  <c r="K165" i="3"/>
  <c r="J165" i="3"/>
  <c r="K117" i="3"/>
  <c r="J117" i="3"/>
  <c r="K69" i="3"/>
  <c r="J69" i="3"/>
  <c r="K21" i="3"/>
  <c r="J21" i="3"/>
  <c r="K260" i="3"/>
  <c r="J260" i="3"/>
  <c r="K212" i="3"/>
  <c r="J212" i="3"/>
  <c r="K164" i="3"/>
  <c r="J164" i="3"/>
  <c r="K116" i="3"/>
  <c r="J116" i="3"/>
  <c r="K68" i="3"/>
  <c r="J68" i="3"/>
  <c r="K20" i="3"/>
  <c r="J20" i="3"/>
  <c r="K259" i="3"/>
  <c r="J259" i="3"/>
  <c r="K211" i="3"/>
  <c r="J211" i="3"/>
  <c r="K163" i="3"/>
  <c r="J163" i="3"/>
  <c r="K115" i="3"/>
  <c r="J115" i="3"/>
  <c r="K67" i="3"/>
  <c r="J67" i="3"/>
  <c r="K19" i="3"/>
  <c r="J19" i="3"/>
  <c r="K158" i="3"/>
  <c r="J158" i="3"/>
  <c r="K253" i="3"/>
  <c r="J253" i="3"/>
  <c r="K157" i="3"/>
  <c r="J157" i="3"/>
  <c r="K13" i="3"/>
  <c r="J13" i="3"/>
  <c r="K156" i="3"/>
  <c r="J156" i="3"/>
  <c r="K12" i="3"/>
  <c r="J12" i="3"/>
  <c r="K155" i="3"/>
  <c r="J155" i="3"/>
  <c r="K11" i="3"/>
  <c r="J11" i="3"/>
  <c r="K114" i="3"/>
  <c r="J114" i="3"/>
  <c r="K257" i="3"/>
  <c r="J257" i="3"/>
  <c r="K113" i="3"/>
  <c r="J113" i="3"/>
  <c r="K256" i="3"/>
  <c r="J256" i="3"/>
  <c r="K160" i="3"/>
  <c r="J160" i="3"/>
  <c r="K64" i="3"/>
  <c r="J64" i="3"/>
  <c r="K16" i="3"/>
  <c r="J16" i="3"/>
  <c r="K207" i="3"/>
  <c r="J207" i="3"/>
  <c r="K159" i="3"/>
  <c r="J159" i="3"/>
  <c r="K63" i="3"/>
  <c r="J63" i="3"/>
  <c r="K58" i="3"/>
  <c r="J58" i="3"/>
  <c r="K105" i="3"/>
  <c r="J105" i="3"/>
  <c r="K248" i="3"/>
  <c r="J248" i="3"/>
  <c r="K56" i="3"/>
  <c r="J56" i="3"/>
  <c r="K103" i="3"/>
  <c r="J103" i="3"/>
  <c r="K246" i="3"/>
  <c r="J246" i="3"/>
  <c r="K198" i="3"/>
  <c r="J198" i="3"/>
  <c r="K102" i="3"/>
  <c r="J102" i="3"/>
  <c r="K245" i="3"/>
  <c r="J245" i="3"/>
  <c r="K149" i="3"/>
  <c r="J149" i="3"/>
  <c r="K53" i="3"/>
  <c r="J53" i="3"/>
  <c r="K5" i="3"/>
  <c r="J5" i="3"/>
  <c r="K244" i="3"/>
  <c r="J244" i="3"/>
  <c r="K100" i="3"/>
  <c r="J100" i="3"/>
  <c r="K4" i="3"/>
  <c r="J4" i="3"/>
  <c r="K243" i="3"/>
  <c r="J243" i="3"/>
  <c r="K147" i="3"/>
  <c r="J147" i="3"/>
  <c r="K99" i="3"/>
  <c r="J99" i="3"/>
  <c r="K51" i="3"/>
  <c r="J51" i="3"/>
  <c r="K3" i="3"/>
  <c r="J3" i="3"/>
  <c r="K290" i="3"/>
  <c r="J290" i="3"/>
  <c r="K242" i="3"/>
  <c r="J242" i="3"/>
  <c r="K194" i="3"/>
  <c r="J194" i="3"/>
  <c r="K146" i="3"/>
  <c r="J146" i="3"/>
  <c r="K98" i="3"/>
  <c r="J98" i="3"/>
  <c r="K50" i="3"/>
  <c r="J50" i="3"/>
  <c r="K289" i="3"/>
  <c r="J289" i="3"/>
  <c r="K241" i="3"/>
  <c r="J241" i="3"/>
  <c r="K193" i="3"/>
  <c r="J193" i="3"/>
  <c r="K145" i="3"/>
  <c r="J145" i="3"/>
  <c r="K97" i="3"/>
  <c r="J97" i="3"/>
  <c r="K49" i="3"/>
  <c r="J49" i="3"/>
  <c r="K288" i="3"/>
  <c r="J288" i="3"/>
  <c r="K240" i="3"/>
  <c r="J240" i="3"/>
  <c r="K192" i="3"/>
  <c r="J192" i="3"/>
  <c r="K144" i="3"/>
  <c r="J144" i="3"/>
  <c r="K96" i="3"/>
  <c r="J96" i="3"/>
  <c r="K48" i="3"/>
  <c r="J48" i="3"/>
  <c r="K287" i="3"/>
  <c r="J287" i="3"/>
  <c r="K239" i="3"/>
  <c r="J239" i="3"/>
  <c r="K191" i="3"/>
  <c r="J191" i="3"/>
  <c r="K143" i="3"/>
  <c r="J143" i="3"/>
  <c r="K95" i="3"/>
  <c r="J95" i="3"/>
  <c r="K47" i="3"/>
  <c r="J47" i="3"/>
  <c r="AB6" i="3"/>
  <c r="AD6" i="3" s="1"/>
  <c r="K210" i="3"/>
  <c r="J210" i="3"/>
  <c r="K65" i="3"/>
  <c r="J65" i="3"/>
  <c r="K250" i="3"/>
  <c r="J250" i="3"/>
  <c r="K57" i="3"/>
  <c r="J57" i="3"/>
  <c r="K152" i="3"/>
  <c r="J152" i="3"/>
  <c r="K247" i="3"/>
  <c r="J247" i="3"/>
  <c r="K151" i="3"/>
  <c r="J151" i="3"/>
  <c r="K7" i="3"/>
  <c r="J7" i="3"/>
  <c r="K150" i="3"/>
  <c r="J150" i="3"/>
  <c r="K54" i="3"/>
  <c r="J54" i="3"/>
  <c r="K6" i="3"/>
  <c r="J6" i="3"/>
  <c r="K197" i="3"/>
  <c r="J197" i="3"/>
  <c r="K101" i="3"/>
  <c r="J101" i="3"/>
  <c r="K196" i="3"/>
  <c r="J196" i="3"/>
  <c r="K148" i="3"/>
  <c r="J148" i="3"/>
  <c r="K52" i="3"/>
  <c r="J52" i="3"/>
  <c r="K195" i="3"/>
  <c r="J195" i="3"/>
  <c r="K286" i="3"/>
  <c r="J286" i="3"/>
  <c r="K238" i="3"/>
  <c r="J238" i="3"/>
  <c r="K190" i="3"/>
  <c r="J190" i="3"/>
  <c r="K142" i="3"/>
  <c r="J142" i="3"/>
  <c r="K94" i="3"/>
  <c r="J94" i="3"/>
  <c r="K46" i="3"/>
  <c r="J46" i="3"/>
  <c r="K285" i="3"/>
  <c r="J285" i="3"/>
  <c r="K237" i="3"/>
  <c r="J237" i="3"/>
  <c r="K189" i="3"/>
  <c r="J189" i="3"/>
  <c r="K141" i="3"/>
  <c r="J141" i="3"/>
  <c r="K93" i="3"/>
  <c r="J93" i="3"/>
  <c r="K45" i="3"/>
  <c r="J45" i="3"/>
  <c r="K284" i="3"/>
  <c r="J284" i="3"/>
  <c r="K236" i="3"/>
  <c r="J236" i="3"/>
  <c r="K188" i="3"/>
  <c r="J188" i="3"/>
  <c r="K140" i="3"/>
  <c r="J140" i="3"/>
  <c r="K92" i="3"/>
  <c r="J92" i="3"/>
  <c r="K44" i="3"/>
  <c r="J44" i="3"/>
  <c r="K283" i="3"/>
  <c r="J283" i="3"/>
  <c r="K235" i="3"/>
  <c r="J235" i="3"/>
  <c r="K187" i="3"/>
  <c r="J187" i="3"/>
  <c r="K139" i="3"/>
  <c r="J139" i="3"/>
  <c r="K91" i="3"/>
  <c r="J91" i="3"/>
  <c r="K43" i="3"/>
  <c r="J43" i="3"/>
  <c r="S78" i="3"/>
  <c r="T78" i="3" s="1"/>
  <c r="U77" i="3"/>
  <c r="S77" i="3"/>
  <c r="T77" i="3" s="1"/>
  <c r="U76" i="3"/>
  <c r="S76" i="3"/>
  <c r="T76" i="3" s="1"/>
  <c r="U75" i="3"/>
  <c r="S75" i="3"/>
  <c r="T75" i="3" s="1"/>
  <c r="U78" i="3"/>
  <c r="K282" i="3"/>
  <c r="J282" i="3"/>
  <c r="K234" i="3"/>
  <c r="J234" i="3"/>
  <c r="K186" i="3"/>
  <c r="J186" i="3"/>
  <c r="K138" i="3"/>
  <c r="J138" i="3"/>
  <c r="K90" i="3"/>
  <c r="J90" i="3"/>
  <c r="K42" i="3"/>
  <c r="J42" i="3"/>
  <c r="K281" i="3"/>
  <c r="J281" i="3"/>
  <c r="K233" i="3"/>
  <c r="J233" i="3"/>
  <c r="K185" i="3"/>
  <c r="J185" i="3"/>
  <c r="K137" i="3"/>
  <c r="J137" i="3"/>
  <c r="K89" i="3"/>
  <c r="J89" i="3"/>
  <c r="K41" i="3"/>
  <c r="J41" i="3"/>
  <c r="J280" i="3"/>
  <c r="K280" i="3"/>
  <c r="K232" i="3"/>
  <c r="J232" i="3"/>
  <c r="K184" i="3"/>
  <c r="J184" i="3"/>
  <c r="K136" i="3"/>
  <c r="J136" i="3"/>
  <c r="K88" i="3"/>
  <c r="J88" i="3"/>
  <c r="K40" i="3"/>
  <c r="J40" i="3"/>
  <c r="K279" i="3"/>
  <c r="J279" i="3"/>
  <c r="K231" i="3"/>
  <c r="J231" i="3"/>
  <c r="K183" i="3"/>
  <c r="J183" i="3"/>
  <c r="K135" i="3"/>
  <c r="J135" i="3"/>
  <c r="K87" i="3"/>
  <c r="J87" i="3"/>
  <c r="K39" i="3"/>
  <c r="J39" i="3"/>
  <c r="K106" i="3"/>
  <c r="J106" i="3"/>
  <c r="K249" i="3"/>
  <c r="J249" i="3"/>
  <c r="K8" i="3"/>
  <c r="J8" i="3"/>
  <c r="K278" i="3"/>
  <c r="J278" i="3"/>
  <c r="K230" i="3"/>
  <c r="J230" i="3"/>
  <c r="K182" i="3"/>
  <c r="J182" i="3"/>
  <c r="K134" i="3"/>
  <c r="J134" i="3"/>
  <c r="K86" i="3"/>
  <c r="J86" i="3"/>
  <c r="K38" i="3"/>
  <c r="J38" i="3"/>
  <c r="K277" i="3"/>
  <c r="J277" i="3"/>
  <c r="K229" i="3"/>
  <c r="J229" i="3"/>
  <c r="K181" i="3"/>
  <c r="J181" i="3"/>
  <c r="K133" i="3"/>
  <c r="J133" i="3"/>
  <c r="K85" i="3"/>
  <c r="J85" i="3"/>
  <c r="K37" i="3"/>
  <c r="J37" i="3"/>
  <c r="K276" i="3"/>
  <c r="J276" i="3"/>
  <c r="K228" i="3"/>
  <c r="J228" i="3"/>
  <c r="K180" i="3"/>
  <c r="J180" i="3"/>
  <c r="K132" i="3"/>
  <c r="J132" i="3"/>
  <c r="K84" i="3"/>
  <c r="J84" i="3"/>
  <c r="K36" i="3"/>
  <c r="J36" i="3"/>
  <c r="K275" i="3"/>
  <c r="J275" i="3"/>
  <c r="K227" i="3"/>
  <c r="J227" i="3"/>
  <c r="K179" i="3"/>
  <c r="J179" i="3"/>
  <c r="K131" i="3"/>
  <c r="J131" i="3"/>
  <c r="K83" i="3"/>
  <c r="J83" i="3"/>
  <c r="K35" i="3"/>
  <c r="J35" i="3"/>
  <c r="K258" i="3"/>
  <c r="J258" i="3"/>
  <c r="K66" i="3"/>
  <c r="J66" i="3"/>
  <c r="K209" i="3"/>
  <c r="J209" i="3"/>
  <c r="K154" i="3"/>
  <c r="J154" i="3"/>
  <c r="K153" i="3"/>
  <c r="J153" i="3"/>
  <c r="K200" i="3"/>
  <c r="J200" i="3"/>
  <c r="K199" i="3"/>
  <c r="J199" i="3"/>
  <c r="K274" i="3"/>
  <c r="J274" i="3"/>
  <c r="K226" i="3"/>
  <c r="J226" i="3"/>
  <c r="K178" i="3"/>
  <c r="J178" i="3"/>
  <c r="K130" i="3"/>
  <c r="J130" i="3"/>
  <c r="K82" i="3"/>
  <c r="J82" i="3"/>
  <c r="K34" i="3"/>
  <c r="J34" i="3"/>
  <c r="K273" i="3"/>
  <c r="J273" i="3"/>
  <c r="K225" i="3"/>
  <c r="J225" i="3"/>
  <c r="K177" i="3"/>
  <c r="J177" i="3"/>
  <c r="K129" i="3"/>
  <c r="J129" i="3"/>
  <c r="K81" i="3"/>
  <c r="J81" i="3"/>
  <c r="K33" i="3"/>
  <c r="J33" i="3"/>
  <c r="K272" i="3"/>
  <c r="J272" i="3"/>
  <c r="K224" i="3"/>
  <c r="J224" i="3"/>
  <c r="K176" i="3"/>
  <c r="J176" i="3"/>
  <c r="K128" i="3"/>
  <c r="J128" i="3"/>
  <c r="K80" i="3"/>
  <c r="J80" i="3"/>
  <c r="K32" i="3"/>
  <c r="J32" i="3"/>
  <c r="K271" i="3"/>
  <c r="J271" i="3"/>
  <c r="K223" i="3"/>
  <c r="J223" i="3"/>
  <c r="K175" i="3"/>
  <c r="J175" i="3"/>
  <c r="K127" i="3"/>
  <c r="J127" i="3"/>
  <c r="K79" i="3"/>
  <c r="J79" i="3"/>
  <c r="K31" i="3"/>
  <c r="J31" i="3"/>
  <c r="K254" i="3"/>
  <c r="J254" i="3"/>
  <c r="K110" i="3"/>
  <c r="J110" i="3"/>
  <c r="K14" i="3"/>
  <c r="J14" i="3"/>
  <c r="K109" i="3"/>
  <c r="J109" i="3"/>
  <c r="K252" i="3"/>
  <c r="J252" i="3"/>
  <c r="K108" i="3"/>
  <c r="J108" i="3"/>
  <c r="K251" i="3"/>
  <c r="J251" i="3"/>
  <c r="K59" i="3"/>
  <c r="J59" i="3"/>
  <c r="K270" i="3"/>
  <c r="J270" i="3"/>
  <c r="K222" i="3"/>
  <c r="J222" i="3"/>
  <c r="K174" i="3"/>
  <c r="J174" i="3"/>
  <c r="K126" i="3"/>
  <c r="J126" i="3"/>
  <c r="K78" i="3"/>
  <c r="J78" i="3"/>
  <c r="K30" i="3"/>
  <c r="J30" i="3"/>
  <c r="K269" i="3"/>
  <c r="J269" i="3"/>
  <c r="K221" i="3"/>
  <c r="J221" i="3"/>
  <c r="K173" i="3"/>
  <c r="J173" i="3"/>
  <c r="K125" i="3"/>
  <c r="J125" i="3"/>
  <c r="K77" i="3"/>
  <c r="J77" i="3"/>
  <c r="K29" i="3"/>
  <c r="J29" i="3"/>
  <c r="K268" i="3"/>
  <c r="J268" i="3"/>
  <c r="K220" i="3"/>
  <c r="J220" i="3"/>
  <c r="K172" i="3"/>
  <c r="J172" i="3"/>
  <c r="K124" i="3"/>
  <c r="J124" i="3"/>
  <c r="K76" i="3"/>
  <c r="J76" i="3"/>
  <c r="K28" i="3"/>
  <c r="J28" i="3"/>
  <c r="K267" i="3"/>
  <c r="J267" i="3"/>
  <c r="K219" i="3"/>
  <c r="J219" i="3"/>
  <c r="K171" i="3"/>
  <c r="J171" i="3"/>
  <c r="K123" i="3"/>
  <c r="J123" i="3"/>
  <c r="K75" i="3"/>
  <c r="J75" i="3"/>
  <c r="K27" i="3"/>
  <c r="J27" i="3"/>
  <c r="AB13" i="3"/>
  <c r="K206" i="3"/>
  <c r="J206" i="3"/>
  <c r="K62" i="3"/>
  <c r="J62" i="3"/>
  <c r="K205" i="3"/>
  <c r="J205" i="3"/>
  <c r="K61" i="3"/>
  <c r="J61" i="3"/>
  <c r="K204" i="3"/>
  <c r="J204" i="3"/>
  <c r="K60" i="3"/>
  <c r="J60" i="3"/>
  <c r="K203" i="3"/>
  <c r="J203" i="3"/>
  <c r="K107" i="3"/>
  <c r="J107" i="3"/>
  <c r="K266" i="3"/>
  <c r="J266" i="3"/>
  <c r="K218" i="3"/>
  <c r="J218" i="3"/>
  <c r="K170" i="3"/>
  <c r="J170" i="3"/>
  <c r="K122" i="3"/>
  <c r="J122" i="3"/>
  <c r="K74" i="3"/>
  <c r="J74" i="3"/>
  <c r="K26" i="3"/>
  <c r="J26" i="3"/>
  <c r="K265" i="3"/>
  <c r="J265" i="3"/>
  <c r="K217" i="3"/>
  <c r="J217" i="3"/>
  <c r="K169" i="3"/>
  <c r="J169" i="3"/>
  <c r="K121" i="3"/>
  <c r="J121" i="3"/>
  <c r="K73" i="3"/>
  <c r="J73" i="3"/>
  <c r="K25" i="3"/>
  <c r="J25" i="3"/>
  <c r="K264" i="3"/>
  <c r="J264" i="3"/>
  <c r="K216" i="3"/>
  <c r="J216" i="3"/>
  <c r="K168" i="3"/>
  <c r="J168" i="3"/>
  <c r="K120" i="3"/>
  <c r="J120" i="3"/>
  <c r="K72" i="3"/>
  <c r="J72" i="3"/>
  <c r="K24" i="3"/>
  <c r="J24" i="3"/>
  <c r="K263" i="3"/>
  <c r="J263" i="3"/>
  <c r="K215" i="3"/>
  <c r="J215" i="3"/>
  <c r="K167" i="3"/>
  <c r="J167" i="3"/>
  <c r="K119" i="3"/>
  <c r="J119" i="3"/>
  <c r="K71" i="3"/>
  <c r="J71" i="3"/>
  <c r="K23" i="3"/>
  <c r="J23" i="3"/>
  <c r="U48" i="3"/>
  <c r="S47" i="3"/>
  <c r="T47" i="3" s="1"/>
  <c r="U47" i="3"/>
  <c r="S46" i="3"/>
  <c r="T46" i="3" s="1"/>
  <c r="U46" i="3"/>
  <c r="S48" i="3"/>
  <c r="T48" i="3" s="1"/>
  <c r="S52" i="3"/>
  <c r="T52" i="3" s="1"/>
  <c r="S51" i="3"/>
  <c r="T51" i="3" s="1"/>
  <c r="U51" i="3"/>
  <c r="U52" i="3"/>
  <c r="AB16" i="3"/>
  <c r="AD16" i="3" s="1"/>
  <c r="U62" i="3" l="1"/>
  <c r="S60" i="3"/>
  <c r="T60" i="3" s="1"/>
  <c r="S59" i="3"/>
  <c r="T59" i="3" s="1"/>
  <c r="U61" i="3"/>
  <c r="U60" i="3"/>
  <c r="U59" i="3"/>
  <c r="U64" i="3"/>
  <c r="S64" i="3"/>
  <c r="T64" i="3" s="1"/>
  <c r="U63" i="3"/>
  <c r="S63" i="3"/>
  <c r="T63" i="3" s="1"/>
  <c r="S61" i="3"/>
  <c r="T61" i="3" s="1"/>
  <c r="S62" i="3"/>
  <c r="T62" i="3" s="1"/>
  <c r="S70" i="3"/>
  <c r="T70" i="3" s="1"/>
  <c r="U69" i="3"/>
  <c r="S69" i="3"/>
  <c r="T69" i="3" s="1"/>
  <c r="U68" i="3"/>
  <c r="S68" i="3"/>
  <c r="T68" i="3" s="1"/>
  <c r="U67" i="3"/>
  <c r="U72" i="3"/>
  <c r="S67" i="3"/>
  <c r="T67" i="3" s="1"/>
  <c r="S72" i="3"/>
  <c r="T72" i="3" s="1"/>
  <c r="U71" i="3"/>
  <c r="U70" i="3"/>
  <c r="S71" i="3"/>
  <c r="T71" i="3" s="1"/>
  <c r="AD13" i="3"/>
  <c r="AB11" i="3"/>
  <c r="AB5" i="3"/>
  <c r="AD5" i="3" s="1"/>
  <c r="AB4" i="3"/>
  <c r="AB9" i="3" l="1"/>
  <c r="AB7" i="3"/>
  <c r="AD4" i="3"/>
  <c r="AB12" i="3"/>
  <c r="AD12" i="3" s="1"/>
  <c r="AD11" i="3"/>
  <c r="AB8" i="3" l="1"/>
  <c r="AD7" i="3"/>
  <c r="AB10" i="3"/>
  <c r="AD10" i="3" s="1"/>
  <c r="AD9" i="3"/>
  <c r="AD8" i="3" l="1"/>
  <c r="AB14" i="3"/>
  <c r="AD14" i="3" s="1"/>
  <c r="AB3" i="3" l="1"/>
  <c r="AD3" i="3" l="1"/>
  <c r="AB17" i="3"/>
  <c r="AD17" i="3" s="1"/>
  <c r="AE6" i="3" l="1"/>
  <c r="AF6" i="3" s="1"/>
  <c r="AE13" i="3"/>
  <c r="AF13" i="3" s="1"/>
  <c r="AE5" i="3"/>
  <c r="AF5" i="3" s="1"/>
  <c r="AE15" i="3"/>
  <c r="AF15" i="3" s="1"/>
  <c r="AE4" i="3"/>
  <c r="AF4" i="3" s="1"/>
  <c r="AE16" i="3"/>
  <c r="AF16" i="3" s="1"/>
  <c r="AE12" i="3"/>
  <c r="AF12" i="3" s="1"/>
  <c r="AE11" i="3"/>
  <c r="AF11" i="3" s="1"/>
  <c r="AE9" i="3"/>
  <c r="AF9" i="3" s="1"/>
  <c r="AE7" i="3"/>
  <c r="AF7" i="3" s="1"/>
  <c r="AE10" i="3"/>
  <c r="AF10" i="3" s="1"/>
  <c r="AE14" i="3"/>
  <c r="AF14" i="3" s="1"/>
  <c r="AE8" i="3"/>
  <c r="AF8" i="3" s="1"/>
  <c r="AE3" i="3"/>
  <c r="AF3" i="3" s="1"/>
</calcChain>
</file>

<file path=xl/sharedStrings.xml><?xml version="1.0" encoding="utf-8"?>
<sst xmlns="http://schemas.openxmlformats.org/spreadsheetml/2006/main" count="901" uniqueCount="93">
  <si>
    <t>Resposta</t>
  </si>
  <si>
    <t>Tratamentos</t>
  </si>
  <si>
    <t>Horario(Colunas)</t>
  </si>
  <si>
    <t>Pista(Linhas)</t>
  </si>
  <si>
    <t>Fonte</t>
  </si>
  <si>
    <t>SQ</t>
  </si>
  <si>
    <t>GL</t>
  </si>
  <si>
    <t>Trat</t>
  </si>
  <si>
    <t>Pistas</t>
  </si>
  <si>
    <t>Hora</t>
  </si>
  <si>
    <t>Total</t>
  </si>
  <si>
    <t>Total^2</t>
  </si>
  <si>
    <t>n</t>
  </si>
  <si>
    <t>P(Linhas)</t>
  </si>
  <si>
    <t>C(Colunas)</t>
  </si>
  <si>
    <t>r(Réplicas)</t>
  </si>
  <si>
    <t>N</t>
  </si>
  <si>
    <t>Horarios</t>
  </si>
  <si>
    <t>Niveis</t>
  </si>
  <si>
    <t>Pistas:Horario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</si>
  <si>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</si>
  <si>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</si>
  <si>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</si>
  <si>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</si>
  <si>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</si>
  <si>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</si>
  <si>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</si>
  <si>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</si>
  <si>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</si>
  <si>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tot(dist p media global ao quadrado)</t>
  </si>
  <si>
    <t>Erro</t>
  </si>
  <si>
    <t>QM</t>
  </si>
  <si>
    <t>F</t>
  </si>
  <si>
    <t>Bases de Cálculo para as Somas de Quadrados</t>
  </si>
  <si>
    <t>P-valor</t>
  </si>
  <si>
    <t>-</t>
  </si>
  <si>
    <t>Tabela 1: Identificação dos tratamentos pelas combinações dos níveis dos fatores</t>
  </si>
  <si>
    <t>Tratamento</t>
  </si>
  <si>
    <t>Combinação dos fatores</t>
  </si>
  <si>
    <t>AAA</t>
  </si>
  <si>
    <t>1º fator: solado (A = quatro fixadores, B = seis fixadores e C = oito fixadores)</t>
  </si>
  <si>
    <t>BAA</t>
  </si>
  <si>
    <t>2ª fator: firmeza (A = macio, B = rígido)</t>
  </si>
  <si>
    <t>CAA</t>
  </si>
  <si>
    <t>3º fator: cadarço (A = com cadarço, B = sem cadarço)</t>
  </si>
  <si>
    <t>ABA</t>
  </si>
  <si>
    <t>BBA</t>
  </si>
  <si>
    <t>CBA</t>
  </si>
  <si>
    <t>ABB</t>
  </si>
  <si>
    <t>BBB</t>
  </si>
  <si>
    <t>CBB</t>
  </si>
  <si>
    <t>AAB</t>
  </si>
  <si>
    <t>BAB</t>
  </si>
  <si>
    <t>CAB</t>
  </si>
  <si>
    <t>Tabela 2: valores das respostas (tempo dos corredores em 200 m)</t>
  </si>
  <si>
    <t>HORÁRIO</t>
  </si>
  <si>
    <t>PISTA</t>
  </si>
  <si>
    <t>Tabela 3: distribuição dos tratamentos em quadrado latino</t>
  </si>
  <si>
    <t>Estimativas para os parâmetros</t>
  </si>
  <si>
    <t>Solado</t>
  </si>
  <si>
    <t>Firmeza</t>
  </si>
  <si>
    <t>Cadarço</t>
  </si>
  <si>
    <t>A</t>
  </si>
  <si>
    <t>C</t>
  </si>
  <si>
    <t>B</t>
  </si>
  <si>
    <t>(Sol,Fir)</t>
  </si>
  <si>
    <t>Sol,Fir</t>
  </si>
  <si>
    <t>Sol,Cad</t>
  </si>
  <si>
    <t>Fir,Cad</t>
  </si>
  <si>
    <t>AA</t>
  </si>
  <si>
    <t>AB</t>
  </si>
  <si>
    <t>CB</t>
  </si>
  <si>
    <t>CA</t>
  </si>
  <si>
    <t>BB</t>
  </si>
  <si>
    <t>BA</t>
  </si>
  <si>
    <t>(Sol,cad)</t>
  </si>
  <si>
    <t>(Fir,Cad)</t>
  </si>
  <si>
    <t>(Sol,Cad)</t>
  </si>
  <si>
    <t>(Fir, Cad)</t>
  </si>
  <si>
    <t>(Sol x Fir)</t>
  </si>
  <si>
    <t>(Sol x Cad)</t>
  </si>
  <si>
    <t>(Sol,Fir,Cad)</t>
  </si>
  <si>
    <t>(Sol,Fir,Cad)=Trat</t>
  </si>
  <si>
    <t>(Sol x Fir x Cad)</t>
  </si>
  <si>
    <t>Interações</t>
  </si>
  <si>
    <t>Estimativas</t>
  </si>
  <si>
    <t>Média Global:</t>
  </si>
  <si>
    <t>i/j</t>
  </si>
  <si>
    <t>Sol x Fir</t>
  </si>
  <si>
    <t>Sol x Cad</t>
  </si>
  <si>
    <t>Fir x Cad</t>
  </si>
  <si>
    <t>Sol x Fir x Cad</t>
  </si>
  <si>
    <t>Trat 1 x Demais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</si>
</sst>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2" fontId="0" fillId="0" borderId="0" xfId="0" applyNumberFormat="1"/>
    <xf numFmtId="49" fontId="0" fillId="0" borderId="0" xfId="0" applyNumberFormat="1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3" xfId="0" applyBorder="1"/>
    <xf numFmtId="0" fontId="1" fillId="0" borderId="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0" xfId="0" applyFill="1"/>
    <xf numFmtId="2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/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NumberFormat="1"/>
    <xf numFmtId="2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2" fontId="3" fillId="0" borderId="8" xfId="0" applyNumberFormat="1" applyFont="1" applyBorder="1" applyAlignment="1">
      <alignment horizontal="center" vertical="center"/>
    </xf>
    <xf numFmtId="0" fontId="5" fillId="3" borderId="6" xfId="0" applyFont="1" applyFill="1" applyBorder="1"/>
    <xf numFmtId="2" fontId="7" fillId="0" borderId="0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0" xfId="0" applyBorder="1"/>
    <xf numFmtId="0" fontId="0" fillId="0" borderId="4" xfId="0" applyBorder="1"/>
    <xf numFmtId="2" fontId="7" fillId="0" borderId="1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49" fontId="7" fillId="0" borderId="4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0" fillId="0" borderId="19" xfId="0" applyBorder="1"/>
    <xf numFmtId="2" fontId="0" fillId="0" borderId="20" xfId="0" applyNumberFormat="1" applyBorder="1" applyAlignment="1">
      <alignment horizontal="center" vertical="center"/>
    </xf>
    <xf numFmtId="0" fontId="0" fillId="3" borderId="1" xfId="0" applyFill="1" applyBorder="1"/>
    <xf numFmtId="49" fontId="0" fillId="0" borderId="0" xfId="0" applyNumberFormat="1" applyBorder="1"/>
    <xf numFmtId="0" fontId="0" fillId="3" borderId="3" xfId="0" applyFill="1" applyBorder="1"/>
    <xf numFmtId="49" fontId="0" fillId="0" borderId="4" xfId="0" applyNumberFormat="1" applyBorder="1"/>
    <xf numFmtId="49" fontId="6" fillId="0" borderId="4" xfId="0" applyNumberFormat="1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65314</xdr:rowOff>
    </xdr:from>
    <xdr:to>
      <xdr:col>9</xdr:col>
      <xdr:colOff>151881</xdr:colOff>
      <xdr:row>23</xdr:row>
      <xdr:rowOff>10111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D493DF-2277-48CD-6320-188269116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314"/>
          <a:ext cx="6030167" cy="4201111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26</xdr:row>
      <xdr:rowOff>114300</xdr:rowOff>
    </xdr:from>
    <xdr:to>
      <xdr:col>24</xdr:col>
      <xdr:colOff>516400</xdr:colOff>
      <xdr:row>68</xdr:row>
      <xdr:rowOff>172575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0E54DD2-E1CB-6594-E28E-FEB0F9E5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5067300"/>
          <a:ext cx="14689600" cy="805927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152</xdr:row>
      <xdr:rowOff>142875</xdr:rowOff>
    </xdr:from>
    <xdr:to>
      <xdr:col>7</xdr:col>
      <xdr:colOff>534010</xdr:colOff>
      <xdr:row>157</xdr:row>
      <xdr:rowOff>104903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B92E8E1-4CBB-8A03-57E4-AD5433747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29098875"/>
          <a:ext cx="4372585" cy="914528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112</xdr:row>
      <xdr:rowOff>161925</xdr:rowOff>
    </xdr:from>
    <xdr:to>
      <xdr:col>23</xdr:col>
      <xdr:colOff>354385</xdr:colOff>
      <xdr:row>151</xdr:row>
      <xdr:rowOff>20067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9BD08F3-3888-E985-39D4-75C95B0E6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" y="21497925"/>
          <a:ext cx="14041810" cy="728764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80</xdr:row>
      <xdr:rowOff>9525</xdr:rowOff>
    </xdr:from>
    <xdr:to>
      <xdr:col>12</xdr:col>
      <xdr:colOff>220034</xdr:colOff>
      <xdr:row>107</xdr:row>
      <xdr:rowOff>95980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2460EE0-2E5A-FC14-FD6C-CADB3E20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15249525"/>
          <a:ext cx="6868484" cy="522995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AEA9-F31B-4768-A62C-005EC4CFDBC0}">
  <dimension ref="A1"/>
  <sheetViews>
    <sheetView topLeftCell="A88" workbookViewId="0">
      <selection activeCell="C138" sqref="C13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1BFC-B2E9-4765-9AA0-6F0BD637185D}">
  <dimension ref="A2:N66"/>
  <sheetViews>
    <sheetView topLeftCell="A16" workbookViewId="0">
      <selection activeCell="C24" sqref="C24:N47"/>
    </sheetView>
  </sheetViews>
  <sheetFormatPr defaultRowHeight="15" x14ac:dyDescent="0.25"/>
  <sheetData>
    <row r="2" spans="2:5" x14ac:dyDescent="0.25">
      <c r="B2" s="11" t="s">
        <v>36</v>
      </c>
    </row>
    <row r="4" spans="2:5" x14ac:dyDescent="0.25">
      <c r="B4" s="12" t="s">
        <v>37</v>
      </c>
      <c r="C4" s="12" t="s">
        <v>38</v>
      </c>
    </row>
    <row r="5" spans="2:5" x14ac:dyDescent="0.25">
      <c r="B5" s="12" t="s">
        <v>20</v>
      </c>
      <c r="C5" s="13" t="s">
        <v>39</v>
      </c>
      <c r="E5" s="11" t="s">
        <v>40</v>
      </c>
    </row>
    <row r="6" spans="2:5" x14ac:dyDescent="0.25">
      <c r="B6" s="12" t="s">
        <v>21</v>
      </c>
      <c r="C6" s="13" t="s">
        <v>41</v>
      </c>
      <c r="E6" s="11" t="s">
        <v>42</v>
      </c>
    </row>
    <row r="7" spans="2:5" x14ac:dyDescent="0.25">
      <c r="B7" s="12" t="s">
        <v>22</v>
      </c>
      <c r="C7" s="13" t="s">
        <v>43</v>
      </c>
      <c r="E7" s="11" t="s">
        <v>44</v>
      </c>
    </row>
    <row r="8" spans="2:5" x14ac:dyDescent="0.25">
      <c r="B8" s="12" t="s">
        <v>23</v>
      </c>
      <c r="C8" s="13" t="s">
        <v>45</v>
      </c>
    </row>
    <row r="9" spans="2:5" x14ac:dyDescent="0.25">
      <c r="B9" s="12" t="s">
        <v>24</v>
      </c>
      <c r="C9" s="13" t="s">
        <v>46</v>
      </c>
    </row>
    <row r="10" spans="2:5" x14ac:dyDescent="0.25">
      <c r="B10" s="12" t="s">
        <v>25</v>
      </c>
      <c r="C10" s="13" t="s">
        <v>47</v>
      </c>
    </row>
    <row r="11" spans="2:5" x14ac:dyDescent="0.25">
      <c r="B11" s="12" t="s">
        <v>26</v>
      </c>
      <c r="C11" s="13" t="s">
        <v>48</v>
      </c>
    </row>
    <row r="12" spans="2:5" x14ac:dyDescent="0.25">
      <c r="B12" s="12" t="s">
        <v>27</v>
      </c>
      <c r="C12" s="13" t="s">
        <v>49</v>
      </c>
    </row>
    <row r="13" spans="2:5" x14ac:dyDescent="0.25">
      <c r="B13" s="12" t="s">
        <v>28</v>
      </c>
      <c r="C13" s="13" t="s">
        <v>50</v>
      </c>
    </row>
    <row r="14" spans="2:5" x14ac:dyDescent="0.25">
      <c r="B14" s="12">
        <v>10</v>
      </c>
      <c r="C14" s="13" t="s">
        <v>51</v>
      </c>
    </row>
    <row r="15" spans="2:5" x14ac:dyDescent="0.25">
      <c r="B15" s="12">
        <v>11</v>
      </c>
      <c r="C15" s="13" t="s">
        <v>52</v>
      </c>
    </row>
    <row r="16" spans="2:5" x14ac:dyDescent="0.25">
      <c r="B16" s="12">
        <v>12</v>
      </c>
      <c r="C16" s="13" t="s">
        <v>53</v>
      </c>
    </row>
    <row r="20" spans="1:14" x14ac:dyDescent="0.25">
      <c r="B20" s="11" t="s">
        <v>54</v>
      </c>
    </row>
    <row r="22" spans="1:14" x14ac:dyDescent="0.25">
      <c r="C22" s="28" t="s">
        <v>55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30"/>
    </row>
    <row r="23" spans="1:14" x14ac:dyDescent="0.25">
      <c r="B23" s="14"/>
      <c r="C23" s="15">
        <v>1</v>
      </c>
      <c r="D23" s="15">
        <v>2</v>
      </c>
      <c r="E23" s="15">
        <v>3</v>
      </c>
      <c r="F23" s="15">
        <v>4</v>
      </c>
      <c r="G23" s="15">
        <v>5</v>
      </c>
      <c r="H23" s="15">
        <v>6</v>
      </c>
      <c r="I23" s="15">
        <v>7</v>
      </c>
      <c r="J23" s="15">
        <v>8</v>
      </c>
      <c r="K23" s="15">
        <v>9</v>
      </c>
      <c r="L23" s="15">
        <v>10</v>
      </c>
      <c r="M23" s="15">
        <v>11</v>
      </c>
      <c r="N23" s="15">
        <v>12</v>
      </c>
    </row>
    <row r="24" spans="1:14" x14ac:dyDescent="0.25">
      <c r="A24" s="25" t="s">
        <v>56</v>
      </c>
      <c r="B24" s="25">
        <v>1</v>
      </c>
      <c r="C24" s="16">
        <v>22.67</v>
      </c>
      <c r="D24" s="16">
        <v>23.73</v>
      </c>
      <c r="E24" s="16">
        <v>24.48</v>
      </c>
      <c r="F24" s="16">
        <v>25.68</v>
      </c>
      <c r="G24" s="16">
        <v>23.21</v>
      </c>
      <c r="H24" s="16">
        <v>25.96</v>
      </c>
      <c r="I24" s="16">
        <v>25.94</v>
      </c>
      <c r="J24" s="16">
        <v>25.96</v>
      </c>
      <c r="K24" s="16">
        <v>24.84</v>
      </c>
      <c r="L24" s="16">
        <v>24.56</v>
      </c>
      <c r="M24" s="16">
        <v>25.27</v>
      </c>
      <c r="N24" s="16">
        <v>23.61</v>
      </c>
    </row>
    <row r="25" spans="1:14" x14ac:dyDescent="0.25">
      <c r="A25" s="26"/>
      <c r="B25" s="27"/>
      <c r="C25" s="17">
        <v>22.97</v>
      </c>
      <c r="D25" s="17">
        <v>23.56</v>
      </c>
      <c r="E25" s="17">
        <v>25.57</v>
      </c>
      <c r="F25" s="17">
        <v>23.77</v>
      </c>
      <c r="G25" s="17">
        <v>23.37</v>
      </c>
      <c r="H25" s="17">
        <v>24.9</v>
      </c>
      <c r="I25" s="17">
        <v>23.41</v>
      </c>
      <c r="J25" s="17">
        <v>24.55</v>
      </c>
      <c r="K25" s="17">
        <v>24.33</v>
      </c>
      <c r="L25" s="17">
        <v>24.52</v>
      </c>
      <c r="M25" s="17">
        <v>26.13</v>
      </c>
      <c r="N25" s="17">
        <v>25.29</v>
      </c>
    </row>
    <row r="26" spans="1:14" x14ac:dyDescent="0.25">
      <c r="A26" s="26"/>
      <c r="B26" s="25">
        <v>2</v>
      </c>
      <c r="C26" s="16">
        <v>25.43</v>
      </c>
      <c r="D26" s="16">
        <v>25.3</v>
      </c>
      <c r="E26" s="16">
        <v>23.42</v>
      </c>
      <c r="F26" s="16">
        <v>25.49</v>
      </c>
      <c r="G26" s="16">
        <v>23.56</v>
      </c>
      <c r="H26" s="16">
        <v>24.07</v>
      </c>
      <c r="I26" s="16">
        <v>25.63</v>
      </c>
      <c r="J26" s="16">
        <v>24.36</v>
      </c>
      <c r="K26" s="16">
        <v>24.55</v>
      </c>
      <c r="L26" s="16">
        <v>24.04</v>
      </c>
      <c r="M26" s="16">
        <v>24.08</v>
      </c>
      <c r="N26" s="16">
        <v>24.18</v>
      </c>
    </row>
    <row r="27" spans="1:14" x14ac:dyDescent="0.25">
      <c r="A27" s="26"/>
      <c r="B27" s="27"/>
      <c r="C27" s="17">
        <v>23.46</v>
      </c>
      <c r="D27" s="17">
        <v>23.7</v>
      </c>
      <c r="E27" s="17">
        <v>24.14</v>
      </c>
      <c r="F27" s="17">
        <v>24.18</v>
      </c>
      <c r="G27" s="17">
        <v>24.04</v>
      </c>
      <c r="H27" s="17">
        <v>24.84</v>
      </c>
      <c r="I27" s="17">
        <v>26.07</v>
      </c>
      <c r="J27" s="17">
        <v>24.68</v>
      </c>
      <c r="K27" s="17">
        <v>25.64</v>
      </c>
      <c r="L27" s="17">
        <v>25.57</v>
      </c>
      <c r="M27" s="17">
        <v>25.79</v>
      </c>
      <c r="N27" s="17">
        <v>24.24</v>
      </c>
    </row>
    <row r="28" spans="1:14" x14ac:dyDescent="0.25">
      <c r="A28" s="26"/>
      <c r="B28" s="25">
        <f>B26+1</f>
        <v>3</v>
      </c>
      <c r="C28" s="16">
        <v>23.99</v>
      </c>
      <c r="D28" s="16">
        <v>23.39</v>
      </c>
      <c r="E28" s="16">
        <v>24.71</v>
      </c>
      <c r="F28" s="16">
        <v>23.47</v>
      </c>
      <c r="G28" s="16">
        <v>23.77</v>
      </c>
      <c r="H28" s="16">
        <v>24.18</v>
      </c>
      <c r="I28" s="16">
        <v>24.04</v>
      </c>
      <c r="J28" s="16">
        <v>23.8</v>
      </c>
      <c r="K28" s="16">
        <v>24.4</v>
      </c>
      <c r="L28" s="16">
        <v>25.51</v>
      </c>
      <c r="M28" s="16">
        <v>24.14</v>
      </c>
      <c r="N28" s="16">
        <v>24.12</v>
      </c>
    </row>
    <row r="29" spans="1:14" x14ac:dyDescent="0.25">
      <c r="A29" s="26"/>
      <c r="B29" s="27"/>
      <c r="C29" s="17">
        <v>23.98</v>
      </c>
      <c r="D29" s="17">
        <v>24.28</v>
      </c>
      <c r="E29" s="17">
        <v>26.14</v>
      </c>
      <c r="F29" s="17">
        <v>24.08</v>
      </c>
      <c r="G29" s="17">
        <v>22.77</v>
      </c>
      <c r="H29" s="17">
        <v>23.58</v>
      </c>
      <c r="I29" s="17">
        <v>25.28</v>
      </c>
      <c r="J29" s="17">
        <v>23.34</v>
      </c>
      <c r="K29" s="17">
        <v>23.55</v>
      </c>
      <c r="L29" s="17">
        <v>25.01</v>
      </c>
      <c r="M29" s="17">
        <v>25.05</v>
      </c>
      <c r="N29" s="17">
        <v>24.06</v>
      </c>
    </row>
    <row r="30" spans="1:14" x14ac:dyDescent="0.25">
      <c r="A30" s="26"/>
      <c r="B30" s="25">
        <f t="shared" ref="B30:B46" si="0">B28+1</f>
        <v>4</v>
      </c>
      <c r="C30" s="16">
        <v>23.67</v>
      </c>
      <c r="D30" s="16">
        <v>23.43</v>
      </c>
      <c r="E30" s="16">
        <v>22.85</v>
      </c>
      <c r="F30" s="16">
        <v>24</v>
      </c>
      <c r="G30" s="16">
        <v>23.31</v>
      </c>
      <c r="H30" s="16">
        <v>25.24</v>
      </c>
      <c r="I30" s="16">
        <v>23.56</v>
      </c>
      <c r="J30" s="16">
        <v>24.92</v>
      </c>
      <c r="K30" s="16">
        <v>26.51</v>
      </c>
      <c r="L30" s="16">
        <v>24.5</v>
      </c>
      <c r="M30" s="16">
        <v>25.94</v>
      </c>
      <c r="N30" s="16">
        <v>24.08</v>
      </c>
    </row>
    <row r="31" spans="1:14" x14ac:dyDescent="0.25">
      <c r="A31" s="26"/>
      <c r="B31" s="27"/>
      <c r="C31" s="17">
        <v>24.59</v>
      </c>
      <c r="D31" s="17">
        <v>24.04</v>
      </c>
      <c r="E31" s="17">
        <v>23.42</v>
      </c>
      <c r="F31" s="17">
        <v>23.33</v>
      </c>
      <c r="G31" s="17">
        <v>24.37</v>
      </c>
      <c r="H31" s="17">
        <v>24.16</v>
      </c>
      <c r="I31" s="17">
        <v>23.61</v>
      </c>
      <c r="J31" s="17">
        <v>23.4</v>
      </c>
      <c r="K31" s="17">
        <v>25.25</v>
      </c>
      <c r="L31" s="17">
        <v>24.71</v>
      </c>
      <c r="M31" s="17">
        <v>24.58</v>
      </c>
      <c r="N31" s="17">
        <v>25.75</v>
      </c>
    </row>
    <row r="32" spans="1:14" x14ac:dyDescent="0.25">
      <c r="A32" s="26"/>
      <c r="B32" s="25">
        <f t="shared" si="0"/>
        <v>5</v>
      </c>
      <c r="C32" s="16">
        <v>24.57</v>
      </c>
      <c r="D32" s="16">
        <v>24.55</v>
      </c>
      <c r="E32" s="16">
        <v>25.24</v>
      </c>
      <c r="F32" s="16">
        <v>24.64</v>
      </c>
      <c r="G32" s="16">
        <v>23.42</v>
      </c>
      <c r="H32" s="16">
        <v>24.15</v>
      </c>
      <c r="I32" s="16">
        <v>23.43</v>
      </c>
      <c r="J32" s="16">
        <v>23.98</v>
      </c>
      <c r="K32" s="16">
        <v>25.54</v>
      </c>
      <c r="L32" s="16">
        <v>25.23</v>
      </c>
      <c r="M32" s="16">
        <v>23.44</v>
      </c>
      <c r="N32" s="16">
        <v>26.54</v>
      </c>
    </row>
    <row r="33" spans="1:14" x14ac:dyDescent="0.25">
      <c r="A33" s="26"/>
      <c r="B33" s="27"/>
      <c r="C33" s="17">
        <v>24.37</v>
      </c>
      <c r="D33" s="17">
        <v>23.38</v>
      </c>
      <c r="E33" s="17">
        <v>23.88</v>
      </c>
      <c r="F33" s="17">
        <v>25.73</v>
      </c>
      <c r="G33" s="17">
        <v>24.94</v>
      </c>
      <c r="H33" s="17">
        <v>23.64</v>
      </c>
      <c r="I33" s="17">
        <v>24.64</v>
      </c>
      <c r="J33" s="17">
        <v>23.47</v>
      </c>
      <c r="K33" s="17">
        <v>23</v>
      </c>
      <c r="L33" s="17">
        <v>25.19</v>
      </c>
      <c r="M33" s="17">
        <v>25.01</v>
      </c>
      <c r="N33" s="17">
        <v>25.81</v>
      </c>
    </row>
    <row r="34" spans="1:14" x14ac:dyDescent="0.25">
      <c r="A34" s="26"/>
      <c r="B34" s="25">
        <f t="shared" si="0"/>
        <v>6</v>
      </c>
      <c r="C34" s="16">
        <v>23.27</v>
      </c>
      <c r="D34" s="16">
        <v>24.53</v>
      </c>
      <c r="E34" s="16">
        <v>25.47</v>
      </c>
      <c r="F34" s="16">
        <v>23.69</v>
      </c>
      <c r="G34" s="16">
        <v>24.97</v>
      </c>
      <c r="H34" s="16">
        <v>24.5</v>
      </c>
      <c r="I34" s="16">
        <v>22.93</v>
      </c>
      <c r="J34" s="16">
        <v>24.39</v>
      </c>
      <c r="K34" s="16">
        <v>25.69</v>
      </c>
      <c r="L34" s="16">
        <v>25.7</v>
      </c>
      <c r="M34" s="16">
        <v>23.43</v>
      </c>
      <c r="N34" s="16">
        <v>26.28</v>
      </c>
    </row>
    <row r="35" spans="1:14" x14ac:dyDescent="0.25">
      <c r="A35" s="26"/>
      <c r="B35" s="27"/>
      <c r="C35" s="17">
        <v>22.81</v>
      </c>
      <c r="D35" s="17">
        <v>25.86</v>
      </c>
      <c r="E35" s="17">
        <v>24.52</v>
      </c>
      <c r="F35" s="17">
        <v>22.42</v>
      </c>
      <c r="G35" s="17">
        <v>22.84</v>
      </c>
      <c r="H35" s="17">
        <v>25.19</v>
      </c>
      <c r="I35" s="17">
        <v>23.42</v>
      </c>
      <c r="J35" s="17">
        <v>23.18</v>
      </c>
      <c r="K35" s="17">
        <v>24.37</v>
      </c>
      <c r="L35" s="17">
        <v>23.4</v>
      </c>
      <c r="M35" s="17">
        <v>23.58</v>
      </c>
      <c r="N35" s="17">
        <v>26.35</v>
      </c>
    </row>
    <row r="36" spans="1:14" x14ac:dyDescent="0.25">
      <c r="A36" s="26"/>
      <c r="B36" s="25">
        <f t="shared" si="0"/>
        <v>7</v>
      </c>
      <c r="C36" s="16">
        <v>23.81</v>
      </c>
      <c r="D36" s="16">
        <v>23.86</v>
      </c>
      <c r="E36" s="16">
        <v>23.17</v>
      </c>
      <c r="F36" s="16">
        <v>23.4</v>
      </c>
      <c r="G36" s="16">
        <v>24.24</v>
      </c>
      <c r="H36" s="16">
        <v>24.64</v>
      </c>
      <c r="I36" s="16">
        <v>24.46</v>
      </c>
      <c r="J36" s="16">
        <v>25.84</v>
      </c>
      <c r="K36" s="16">
        <v>23.87</v>
      </c>
      <c r="L36" s="16">
        <v>23.73</v>
      </c>
      <c r="M36" s="16">
        <v>23.13</v>
      </c>
      <c r="N36" s="16">
        <v>26.41</v>
      </c>
    </row>
    <row r="37" spans="1:14" x14ac:dyDescent="0.25">
      <c r="A37" s="26"/>
      <c r="B37" s="27"/>
      <c r="C37" s="17">
        <v>24.8</v>
      </c>
      <c r="D37" s="17">
        <v>24.31</v>
      </c>
      <c r="E37" s="17">
        <v>23.28</v>
      </c>
      <c r="F37" s="17">
        <v>23.58</v>
      </c>
      <c r="G37" s="17">
        <v>24</v>
      </c>
      <c r="H37" s="17">
        <v>24.51</v>
      </c>
      <c r="I37" s="17">
        <v>24.97</v>
      </c>
      <c r="J37" s="17">
        <v>24.19</v>
      </c>
      <c r="K37" s="17">
        <v>23.86</v>
      </c>
      <c r="L37" s="17">
        <v>23.42</v>
      </c>
      <c r="M37" s="17">
        <v>23.1</v>
      </c>
      <c r="N37" s="17">
        <v>23.87</v>
      </c>
    </row>
    <row r="38" spans="1:14" x14ac:dyDescent="0.25">
      <c r="A38" s="26"/>
      <c r="B38" s="25">
        <f t="shared" si="0"/>
        <v>8</v>
      </c>
      <c r="C38" s="16">
        <v>24.06</v>
      </c>
      <c r="D38" s="16">
        <v>22.62</v>
      </c>
      <c r="E38" s="16">
        <v>23.24</v>
      </c>
      <c r="F38" s="16">
        <v>23.98</v>
      </c>
      <c r="G38" s="16">
        <v>25.57</v>
      </c>
      <c r="H38" s="16">
        <v>23.84</v>
      </c>
      <c r="I38" s="16">
        <v>22.78</v>
      </c>
      <c r="J38" s="16">
        <v>25.39</v>
      </c>
      <c r="K38" s="16">
        <v>24.35</v>
      </c>
      <c r="L38" s="16">
        <v>25.5</v>
      </c>
      <c r="M38" s="16">
        <v>24.2</v>
      </c>
      <c r="N38" s="16">
        <v>25.11</v>
      </c>
    </row>
    <row r="39" spans="1:14" x14ac:dyDescent="0.25">
      <c r="A39" s="26"/>
      <c r="B39" s="27"/>
      <c r="C39" s="17">
        <v>22.58</v>
      </c>
      <c r="D39" s="17">
        <v>25.43</v>
      </c>
      <c r="E39" s="17">
        <v>25.34</v>
      </c>
      <c r="F39" s="17">
        <v>24.91</v>
      </c>
      <c r="G39" s="17">
        <v>24.3</v>
      </c>
      <c r="H39" s="17">
        <v>23.85</v>
      </c>
      <c r="I39" s="17">
        <v>23.73</v>
      </c>
      <c r="J39" s="17">
        <v>23.55</v>
      </c>
      <c r="K39" s="17">
        <v>24.1</v>
      </c>
      <c r="L39" s="17">
        <v>25.2</v>
      </c>
      <c r="M39" s="17">
        <v>25.19</v>
      </c>
      <c r="N39" s="17">
        <v>24.48</v>
      </c>
    </row>
    <row r="40" spans="1:14" x14ac:dyDescent="0.25">
      <c r="A40" s="26"/>
      <c r="B40" s="25">
        <f t="shared" si="0"/>
        <v>9</v>
      </c>
      <c r="C40" s="16">
        <v>23.08</v>
      </c>
      <c r="D40" s="16">
        <v>24.74</v>
      </c>
      <c r="E40" s="16">
        <v>24.51</v>
      </c>
      <c r="F40" s="16">
        <v>22.37</v>
      </c>
      <c r="G40" s="16">
        <v>24.33</v>
      </c>
      <c r="H40" s="16">
        <v>24.78</v>
      </c>
      <c r="I40" s="16">
        <v>23.33</v>
      </c>
      <c r="J40" s="16">
        <v>23.45</v>
      </c>
      <c r="K40" s="16">
        <v>24.08</v>
      </c>
      <c r="L40" s="16">
        <v>23.12</v>
      </c>
      <c r="M40" s="16">
        <v>24.34</v>
      </c>
      <c r="N40" s="16">
        <v>25.89</v>
      </c>
    </row>
    <row r="41" spans="1:14" x14ac:dyDescent="0.25">
      <c r="A41" s="26"/>
      <c r="B41" s="27"/>
      <c r="C41" s="17">
        <v>23.24</v>
      </c>
      <c r="D41" s="17">
        <v>23.05</v>
      </c>
      <c r="E41" s="17">
        <v>22.54</v>
      </c>
      <c r="F41" s="17">
        <v>24.55</v>
      </c>
      <c r="G41" s="17">
        <v>23.78</v>
      </c>
      <c r="H41" s="17">
        <v>24.2</v>
      </c>
      <c r="I41" s="17">
        <v>25.46</v>
      </c>
      <c r="J41" s="17">
        <v>23.19</v>
      </c>
      <c r="K41" s="17">
        <v>22.61</v>
      </c>
      <c r="L41" s="17">
        <v>24.76</v>
      </c>
      <c r="M41" s="17">
        <v>24.15</v>
      </c>
      <c r="N41" s="17">
        <v>24.19</v>
      </c>
    </row>
    <row r="42" spans="1:14" x14ac:dyDescent="0.25">
      <c r="A42" s="26"/>
      <c r="B42" s="25">
        <f t="shared" si="0"/>
        <v>10</v>
      </c>
      <c r="C42" s="16">
        <v>24.45</v>
      </c>
      <c r="D42" s="16">
        <v>22.94</v>
      </c>
      <c r="E42" s="16">
        <v>23.21</v>
      </c>
      <c r="F42" s="16">
        <v>24.65</v>
      </c>
      <c r="G42" s="16">
        <v>23.33</v>
      </c>
      <c r="H42" s="16">
        <v>24.29</v>
      </c>
      <c r="I42" s="16">
        <v>25.99</v>
      </c>
      <c r="J42" s="16">
        <v>25</v>
      </c>
      <c r="K42" s="16">
        <v>25.61</v>
      </c>
      <c r="L42" s="16">
        <v>23.36</v>
      </c>
      <c r="M42" s="16">
        <v>24.44</v>
      </c>
      <c r="N42" s="16">
        <v>23.93</v>
      </c>
    </row>
    <row r="43" spans="1:14" x14ac:dyDescent="0.25">
      <c r="A43" s="26"/>
      <c r="B43" s="27"/>
      <c r="C43" s="17">
        <v>24.25</v>
      </c>
      <c r="D43" s="17">
        <v>25.05</v>
      </c>
      <c r="E43" s="17">
        <v>23.32</v>
      </c>
      <c r="F43" s="17">
        <v>25.2</v>
      </c>
      <c r="G43" s="17">
        <v>23.64</v>
      </c>
      <c r="H43" s="17">
        <v>24.18</v>
      </c>
      <c r="I43" s="17">
        <v>25.72</v>
      </c>
      <c r="J43" s="17">
        <v>23.42</v>
      </c>
      <c r="K43" s="17">
        <v>24.68</v>
      </c>
      <c r="L43" s="17">
        <v>23.04</v>
      </c>
      <c r="M43" s="17">
        <v>24.41</v>
      </c>
      <c r="N43" s="17">
        <v>25.6</v>
      </c>
    </row>
    <row r="44" spans="1:14" x14ac:dyDescent="0.25">
      <c r="A44" s="26"/>
      <c r="B44" s="25">
        <f t="shared" si="0"/>
        <v>11</v>
      </c>
      <c r="C44" s="16">
        <v>24.59</v>
      </c>
      <c r="D44" s="16">
        <v>23.39</v>
      </c>
      <c r="E44" s="16">
        <v>24.43</v>
      </c>
      <c r="F44" s="16">
        <v>22.5</v>
      </c>
      <c r="G44" s="16">
        <v>23.25</v>
      </c>
      <c r="H44" s="16">
        <v>22.43</v>
      </c>
      <c r="I44" s="16">
        <v>22.85</v>
      </c>
      <c r="J44" s="16">
        <v>23.36</v>
      </c>
      <c r="K44" s="16">
        <v>24.03</v>
      </c>
      <c r="L44" s="16">
        <v>25.14</v>
      </c>
      <c r="M44" s="16">
        <v>25.13</v>
      </c>
      <c r="N44" s="16">
        <v>25.23</v>
      </c>
    </row>
    <row r="45" spans="1:14" x14ac:dyDescent="0.25">
      <c r="A45" s="26"/>
      <c r="B45" s="27"/>
      <c r="C45" s="17">
        <v>22.43</v>
      </c>
      <c r="D45" s="17">
        <v>24.2</v>
      </c>
      <c r="E45" s="17">
        <v>25.1</v>
      </c>
      <c r="F45" s="17">
        <v>23.89</v>
      </c>
      <c r="G45" s="17">
        <v>25.19</v>
      </c>
      <c r="H45" s="17">
        <v>25.05</v>
      </c>
      <c r="I45" s="17">
        <v>26.02</v>
      </c>
      <c r="J45" s="17">
        <v>24.29</v>
      </c>
      <c r="K45" s="17">
        <v>25.2</v>
      </c>
      <c r="L45" s="17">
        <v>24.53</v>
      </c>
      <c r="M45" s="17">
        <v>24.63</v>
      </c>
      <c r="N45" s="17">
        <v>25.32</v>
      </c>
    </row>
    <row r="46" spans="1:14" x14ac:dyDescent="0.25">
      <c r="A46" s="26"/>
      <c r="B46" s="25">
        <f t="shared" si="0"/>
        <v>12</v>
      </c>
      <c r="C46" s="16">
        <v>22.5</v>
      </c>
      <c r="D46" s="16">
        <v>23.18</v>
      </c>
      <c r="E46" s="16">
        <v>23.07</v>
      </c>
      <c r="F46" s="16">
        <v>24.97</v>
      </c>
      <c r="G46" s="16">
        <v>22.55</v>
      </c>
      <c r="H46" s="16">
        <v>23.78</v>
      </c>
      <c r="I46" s="16">
        <v>25.12</v>
      </c>
      <c r="J46" s="16">
        <v>22.73</v>
      </c>
      <c r="K46" s="16">
        <v>25.01</v>
      </c>
      <c r="L46" s="16">
        <v>24.7</v>
      </c>
      <c r="M46" s="16">
        <v>25.78</v>
      </c>
      <c r="N46" s="16">
        <v>22.8</v>
      </c>
    </row>
    <row r="47" spans="1:14" x14ac:dyDescent="0.25">
      <c r="A47" s="27"/>
      <c r="B47" s="27"/>
      <c r="C47" s="17">
        <v>24.27</v>
      </c>
      <c r="D47" s="17">
        <v>24.07</v>
      </c>
      <c r="E47" s="17">
        <v>23.18</v>
      </c>
      <c r="F47" s="17">
        <v>22.58</v>
      </c>
      <c r="G47" s="17">
        <v>22.87</v>
      </c>
      <c r="H47" s="17">
        <v>24.77</v>
      </c>
      <c r="I47" s="17">
        <v>23.96</v>
      </c>
      <c r="J47" s="17">
        <v>22.12</v>
      </c>
      <c r="K47" s="17">
        <v>24.6</v>
      </c>
      <c r="L47" s="17">
        <v>22.73</v>
      </c>
      <c r="M47" s="17">
        <v>23.37</v>
      </c>
      <c r="N47" s="17">
        <v>24.82</v>
      </c>
    </row>
    <row r="51" spans="1:14" x14ac:dyDescent="0.25">
      <c r="B51" s="11" t="s">
        <v>57</v>
      </c>
    </row>
    <row r="53" spans="1:14" x14ac:dyDescent="0.25">
      <c r="C53" s="28" t="s">
        <v>55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30"/>
    </row>
    <row r="54" spans="1:14" x14ac:dyDescent="0.25">
      <c r="B54" s="14"/>
      <c r="C54" s="15">
        <v>1</v>
      </c>
      <c r="D54" s="15">
        <v>2</v>
      </c>
      <c r="E54" s="15">
        <v>3</v>
      </c>
      <c r="F54" s="15">
        <v>4</v>
      </c>
      <c r="G54" s="15">
        <v>5</v>
      </c>
      <c r="H54" s="15">
        <v>6</v>
      </c>
      <c r="I54" s="15">
        <v>7</v>
      </c>
      <c r="J54" s="15">
        <v>8</v>
      </c>
      <c r="K54" s="15">
        <v>9</v>
      </c>
      <c r="L54" s="15">
        <v>10</v>
      </c>
      <c r="M54" s="15">
        <v>11</v>
      </c>
      <c r="N54" s="15">
        <v>12</v>
      </c>
    </row>
    <row r="55" spans="1:14" x14ac:dyDescent="0.25">
      <c r="A55" s="25" t="s">
        <v>56</v>
      </c>
      <c r="B55" s="15">
        <v>1</v>
      </c>
      <c r="C55" s="18">
        <v>10</v>
      </c>
      <c r="D55" s="18">
        <v>7</v>
      </c>
      <c r="E55" s="18">
        <v>6</v>
      </c>
      <c r="F55" s="18">
        <v>9</v>
      </c>
      <c r="G55" s="18">
        <v>3</v>
      </c>
      <c r="H55" s="18">
        <v>4</v>
      </c>
      <c r="I55" s="18">
        <v>12</v>
      </c>
      <c r="J55" s="18">
        <v>5</v>
      </c>
      <c r="K55" s="18">
        <v>8</v>
      </c>
      <c r="L55" s="18">
        <v>2</v>
      </c>
      <c r="M55" s="18">
        <v>1</v>
      </c>
      <c r="N55" s="18">
        <v>11</v>
      </c>
    </row>
    <row r="56" spans="1:14" x14ac:dyDescent="0.25">
      <c r="A56" s="26"/>
      <c r="B56" s="15">
        <v>2</v>
      </c>
      <c r="C56" s="18">
        <v>5</v>
      </c>
      <c r="D56" s="18">
        <v>11</v>
      </c>
      <c r="E56" s="18">
        <v>3</v>
      </c>
      <c r="F56" s="18">
        <v>4</v>
      </c>
      <c r="G56" s="18">
        <v>10</v>
      </c>
      <c r="H56" s="18">
        <v>6</v>
      </c>
      <c r="I56" s="18">
        <v>1</v>
      </c>
      <c r="J56" s="18">
        <v>7</v>
      </c>
      <c r="K56" s="18">
        <v>12</v>
      </c>
      <c r="L56" s="18">
        <v>8</v>
      </c>
      <c r="M56" s="18">
        <v>9</v>
      </c>
      <c r="N56" s="18">
        <v>2</v>
      </c>
    </row>
    <row r="57" spans="1:14" x14ac:dyDescent="0.25">
      <c r="A57" s="26"/>
      <c r="B57" s="15">
        <v>3</v>
      </c>
      <c r="C57" s="18">
        <v>9</v>
      </c>
      <c r="D57" s="18">
        <v>12</v>
      </c>
      <c r="E57" s="18">
        <v>1</v>
      </c>
      <c r="F57" s="18">
        <v>5</v>
      </c>
      <c r="G57" s="18">
        <v>8</v>
      </c>
      <c r="H57" s="18">
        <v>3</v>
      </c>
      <c r="I57" s="18">
        <v>11</v>
      </c>
      <c r="J57" s="18">
        <v>2</v>
      </c>
      <c r="K57" s="18">
        <v>7</v>
      </c>
      <c r="L57" s="18">
        <v>4</v>
      </c>
      <c r="M57" s="18">
        <v>6</v>
      </c>
      <c r="N57" s="18">
        <v>10</v>
      </c>
    </row>
    <row r="58" spans="1:14" x14ac:dyDescent="0.25">
      <c r="A58" s="26"/>
      <c r="B58" s="15">
        <v>4</v>
      </c>
      <c r="C58" s="18">
        <v>3</v>
      </c>
      <c r="D58" s="18">
        <v>9</v>
      </c>
      <c r="E58" s="18">
        <v>11</v>
      </c>
      <c r="F58" s="18">
        <v>7</v>
      </c>
      <c r="G58" s="18">
        <v>5</v>
      </c>
      <c r="H58" s="18">
        <v>1</v>
      </c>
      <c r="I58" s="18">
        <v>8</v>
      </c>
      <c r="J58" s="18">
        <v>10</v>
      </c>
      <c r="K58" s="18">
        <v>4</v>
      </c>
      <c r="L58" s="18">
        <v>6</v>
      </c>
      <c r="M58" s="18">
        <v>2</v>
      </c>
      <c r="N58" s="18">
        <v>12</v>
      </c>
    </row>
    <row r="59" spans="1:14" x14ac:dyDescent="0.25">
      <c r="A59" s="26"/>
      <c r="B59" s="15">
        <v>5</v>
      </c>
      <c r="C59" s="18">
        <v>2</v>
      </c>
      <c r="D59" s="18">
        <v>10</v>
      </c>
      <c r="E59" s="18">
        <v>7</v>
      </c>
      <c r="F59" s="18">
        <v>1</v>
      </c>
      <c r="G59" s="18">
        <v>4</v>
      </c>
      <c r="H59" s="18">
        <v>8</v>
      </c>
      <c r="I59" s="18">
        <v>5</v>
      </c>
      <c r="J59" s="18">
        <v>12</v>
      </c>
      <c r="K59" s="18">
        <v>6</v>
      </c>
      <c r="L59" s="18">
        <v>11</v>
      </c>
      <c r="M59" s="18">
        <v>3</v>
      </c>
      <c r="N59" s="18">
        <v>9</v>
      </c>
    </row>
    <row r="60" spans="1:14" x14ac:dyDescent="0.25">
      <c r="A60" s="26"/>
      <c r="B60" s="15">
        <v>6</v>
      </c>
      <c r="C60" s="18">
        <v>8</v>
      </c>
      <c r="D60" s="18">
        <v>4</v>
      </c>
      <c r="E60" s="18">
        <v>2</v>
      </c>
      <c r="F60" s="18">
        <v>11</v>
      </c>
      <c r="G60" s="18">
        <v>9</v>
      </c>
      <c r="H60" s="18">
        <v>7</v>
      </c>
      <c r="I60" s="18">
        <v>3</v>
      </c>
      <c r="J60" s="18">
        <v>6</v>
      </c>
      <c r="K60" s="18">
        <v>5</v>
      </c>
      <c r="L60" s="18">
        <v>12</v>
      </c>
      <c r="M60" s="18">
        <v>10</v>
      </c>
      <c r="N60" s="18">
        <v>1</v>
      </c>
    </row>
    <row r="61" spans="1:14" x14ac:dyDescent="0.25">
      <c r="A61" s="26"/>
      <c r="B61" s="15">
        <v>7</v>
      </c>
      <c r="C61" s="18">
        <v>6</v>
      </c>
      <c r="D61" s="18">
        <v>5</v>
      </c>
      <c r="E61" s="18">
        <v>10</v>
      </c>
      <c r="F61" s="18">
        <v>12</v>
      </c>
      <c r="G61" s="18">
        <v>11</v>
      </c>
      <c r="H61" s="18">
        <v>2</v>
      </c>
      <c r="I61" s="18">
        <v>4</v>
      </c>
      <c r="J61" s="18">
        <v>1</v>
      </c>
      <c r="K61" s="18">
        <v>3</v>
      </c>
      <c r="L61" s="18">
        <v>9</v>
      </c>
      <c r="M61" s="18">
        <v>8</v>
      </c>
      <c r="N61" s="18">
        <v>7</v>
      </c>
    </row>
    <row r="62" spans="1:14" x14ac:dyDescent="0.25">
      <c r="A62" s="26"/>
      <c r="B62" s="15">
        <v>8</v>
      </c>
      <c r="C62" s="18">
        <v>7</v>
      </c>
      <c r="D62" s="18">
        <v>2</v>
      </c>
      <c r="E62" s="18">
        <v>9</v>
      </c>
      <c r="F62" s="18">
        <v>3</v>
      </c>
      <c r="G62" s="18">
        <v>6</v>
      </c>
      <c r="H62" s="18">
        <v>12</v>
      </c>
      <c r="I62" s="18">
        <v>10</v>
      </c>
      <c r="J62" s="18">
        <v>4</v>
      </c>
      <c r="K62" s="18">
        <v>11</v>
      </c>
      <c r="L62" s="18">
        <v>1</v>
      </c>
      <c r="M62" s="18">
        <v>5</v>
      </c>
      <c r="N62" s="18">
        <v>8</v>
      </c>
    </row>
    <row r="63" spans="1:14" x14ac:dyDescent="0.25">
      <c r="A63" s="26"/>
      <c r="B63" s="15">
        <v>9</v>
      </c>
      <c r="C63" s="18">
        <v>1</v>
      </c>
      <c r="D63" s="18">
        <v>3</v>
      </c>
      <c r="E63" s="18">
        <v>12</v>
      </c>
      <c r="F63" s="18">
        <v>8</v>
      </c>
      <c r="G63" s="18">
        <v>2</v>
      </c>
      <c r="H63" s="18">
        <v>5</v>
      </c>
      <c r="I63" s="18">
        <v>6</v>
      </c>
      <c r="J63" s="18">
        <v>9</v>
      </c>
      <c r="K63" s="18">
        <v>10</v>
      </c>
      <c r="L63" s="18">
        <v>7</v>
      </c>
      <c r="M63" s="18">
        <v>11</v>
      </c>
      <c r="N63" s="18">
        <v>4</v>
      </c>
    </row>
    <row r="64" spans="1:14" x14ac:dyDescent="0.25">
      <c r="A64" s="26"/>
      <c r="B64" s="15">
        <v>10</v>
      </c>
      <c r="C64" s="18">
        <v>4</v>
      </c>
      <c r="D64" s="18">
        <v>6</v>
      </c>
      <c r="E64" s="18">
        <v>8</v>
      </c>
      <c r="F64" s="18">
        <v>2</v>
      </c>
      <c r="G64" s="18">
        <v>7</v>
      </c>
      <c r="H64" s="18">
        <v>10</v>
      </c>
      <c r="I64" s="18">
        <v>9</v>
      </c>
      <c r="J64" s="18">
        <v>11</v>
      </c>
      <c r="K64" s="18">
        <v>1</v>
      </c>
      <c r="L64" s="18">
        <v>3</v>
      </c>
      <c r="M64" s="18">
        <v>12</v>
      </c>
      <c r="N64" s="18">
        <v>5</v>
      </c>
    </row>
    <row r="65" spans="1:14" x14ac:dyDescent="0.25">
      <c r="A65" s="26"/>
      <c r="B65" s="15">
        <v>11</v>
      </c>
      <c r="C65" s="18">
        <v>12</v>
      </c>
      <c r="D65" s="18">
        <v>8</v>
      </c>
      <c r="E65" s="18">
        <v>4</v>
      </c>
      <c r="F65" s="18">
        <v>10</v>
      </c>
      <c r="G65" s="18">
        <v>1</v>
      </c>
      <c r="H65" s="18">
        <v>11</v>
      </c>
      <c r="I65" s="18">
        <v>2</v>
      </c>
      <c r="J65" s="18">
        <v>3</v>
      </c>
      <c r="K65" s="18">
        <v>9</v>
      </c>
      <c r="L65" s="18">
        <v>5</v>
      </c>
      <c r="M65" s="18">
        <v>7</v>
      </c>
      <c r="N65" s="18">
        <v>6</v>
      </c>
    </row>
    <row r="66" spans="1:14" x14ac:dyDescent="0.25">
      <c r="A66" s="27"/>
      <c r="B66" s="15">
        <v>12</v>
      </c>
      <c r="C66" s="18">
        <v>11</v>
      </c>
      <c r="D66" s="18">
        <v>1</v>
      </c>
      <c r="E66" s="18">
        <v>5</v>
      </c>
      <c r="F66" s="18">
        <v>6</v>
      </c>
      <c r="G66" s="18">
        <v>12</v>
      </c>
      <c r="H66" s="18">
        <v>9</v>
      </c>
      <c r="I66" s="18">
        <v>7</v>
      </c>
      <c r="J66" s="18">
        <v>8</v>
      </c>
      <c r="K66" s="18">
        <v>2</v>
      </c>
      <c r="L66" s="18">
        <v>10</v>
      </c>
      <c r="M66" s="18">
        <v>4</v>
      </c>
      <c r="N66" s="18">
        <v>3</v>
      </c>
    </row>
  </sheetData>
  <mergeCells count="16">
    <mergeCell ref="A55:A66"/>
    <mergeCell ref="C22:N22"/>
    <mergeCell ref="A24:A47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C53:N5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F364-C01C-4EF0-B2A6-E66A3C7950B1}">
  <dimension ref="A1:AU382"/>
  <sheetViews>
    <sheetView showGridLines="0" tabSelected="1" zoomScale="84" zoomScaleNormal="84" workbookViewId="0">
      <selection activeCell="AB23" sqref="AB23"/>
    </sheetView>
  </sheetViews>
  <sheetFormatPr defaultRowHeight="15" x14ac:dyDescent="0.25"/>
  <cols>
    <col min="1" max="1" width="1" style="3" customWidth="1"/>
    <col min="2" max="2" width="12.5703125" bestFit="1" customWidth="1"/>
    <col min="3" max="3" width="16.42578125" bestFit="1" customWidth="1"/>
    <col min="4" max="4" width="13.85546875" bestFit="1" customWidth="1"/>
    <col min="5" max="5" width="12.140625" bestFit="1" customWidth="1"/>
    <col min="6" max="12" width="12.140625" customWidth="1"/>
    <col min="13" max="13" width="8.28515625" bestFit="1" customWidth="1"/>
    <col min="14" max="14" width="1" style="3" customWidth="1"/>
    <col min="15" max="15" width="13.28515625" bestFit="1" customWidth="1"/>
    <col min="17" max="17" width="1" style="3" customWidth="1"/>
    <col min="18" max="18" width="8" bestFit="1" customWidth="1"/>
    <col min="21" max="21" width="15.85546875" customWidth="1"/>
    <col min="22" max="22" width="1" style="3" customWidth="1"/>
    <col min="23" max="23" width="10.5703125" bestFit="1" customWidth="1"/>
    <col min="24" max="24" width="9.140625" bestFit="1" customWidth="1"/>
    <col min="25" max="25" width="10.5703125" bestFit="1" customWidth="1"/>
    <col min="26" max="26" width="0.85546875" style="3" customWidth="1"/>
    <col min="27" max="27" width="24.85546875" customWidth="1"/>
    <col min="28" max="28" width="11.5703125" bestFit="1" customWidth="1"/>
    <col min="29" max="32" width="8.28515625" customWidth="1"/>
    <col min="33" max="33" width="0.7109375" style="3" customWidth="1"/>
    <col min="34" max="34" width="11.7109375" style="19" bestFit="1" customWidth="1"/>
    <col min="35" max="35" width="23" style="19" bestFit="1" customWidth="1"/>
    <col min="36" max="36" width="15.42578125" bestFit="1" customWidth="1"/>
    <col min="37" max="37" width="12.5703125" bestFit="1" customWidth="1"/>
    <col min="38" max="38" width="15.42578125" bestFit="1" customWidth="1"/>
    <col min="39" max="39" width="12" style="5" bestFit="1" customWidth="1"/>
    <col min="40" max="40" width="15.42578125" style="5" bestFit="1" customWidth="1"/>
    <col min="41" max="41" width="18.7109375" bestFit="1" customWidth="1"/>
    <col min="42" max="42" width="16" bestFit="1" customWidth="1"/>
    <col min="43" max="44" width="7.85546875" bestFit="1" customWidth="1"/>
    <col min="45" max="46" width="7" bestFit="1" customWidth="1"/>
    <col min="47" max="47" width="7.85546875" bestFit="1" customWidth="1"/>
  </cols>
  <sheetData>
    <row r="1" spans="2:47" ht="15.75" thickBot="1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3"/>
      <c r="P1" s="3"/>
      <c r="R1" s="6" t="s">
        <v>33</v>
      </c>
      <c r="S1" s="3"/>
      <c r="T1" s="3"/>
      <c r="U1" s="3"/>
      <c r="W1" s="3"/>
      <c r="X1" s="3"/>
      <c r="Y1" s="3"/>
      <c r="AA1" s="3"/>
      <c r="AB1" s="3"/>
      <c r="AC1" s="3"/>
      <c r="AD1" s="3"/>
      <c r="AE1" s="3"/>
      <c r="AF1" s="3"/>
      <c r="AH1" s="3"/>
      <c r="AI1" s="3"/>
      <c r="AJ1" s="6" t="s">
        <v>58</v>
      </c>
      <c r="AK1" s="3"/>
      <c r="AL1" s="3"/>
      <c r="AM1" s="24"/>
      <c r="AN1" s="24"/>
      <c r="AO1" s="3"/>
      <c r="AP1" s="3"/>
      <c r="AQ1" s="3"/>
      <c r="AR1" s="3"/>
      <c r="AS1" s="3"/>
      <c r="AT1" s="3"/>
      <c r="AU1" s="3"/>
    </row>
    <row r="2" spans="2:47" ht="19.5" thickBot="1" x14ac:dyDescent="0.3">
      <c r="B2" s="1" t="s">
        <v>3</v>
      </c>
      <c r="C2" s="1" t="s">
        <v>2</v>
      </c>
      <c r="D2" s="1" t="s">
        <v>19</v>
      </c>
      <c r="E2" s="1" t="s">
        <v>1</v>
      </c>
      <c r="F2" s="1" t="s">
        <v>7</v>
      </c>
      <c r="G2" s="1" t="s">
        <v>59</v>
      </c>
      <c r="H2" s="1" t="s">
        <v>60</v>
      </c>
      <c r="I2" s="1" t="s">
        <v>61</v>
      </c>
      <c r="J2" s="1" t="s">
        <v>66</v>
      </c>
      <c r="K2" s="1" t="s">
        <v>67</v>
      </c>
      <c r="L2" s="1" t="s">
        <v>68</v>
      </c>
      <c r="M2" s="1" t="s">
        <v>0</v>
      </c>
      <c r="N2" s="2"/>
      <c r="O2" s="1" t="s">
        <v>4</v>
      </c>
      <c r="P2" s="1" t="s">
        <v>18</v>
      </c>
      <c r="Q2" s="2"/>
      <c r="R2" s="3"/>
      <c r="S2" s="3"/>
      <c r="T2" s="3"/>
      <c r="U2" s="3"/>
      <c r="V2" s="2"/>
      <c r="W2" s="1" t="s">
        <v>15</v>
      </c>
      <c r="X2" s="1" t="s">
        <v>13</v>
      </c>
      <c r="Y2" s="1" t="s">
        <v>14</v>
      </c>
      <c r="Z2" s="2"/>
      <c r="AA2" s="41" t="s">
        <v>4</v>
      </c>
      <c r="AB2" s="42" t="s">
        <v>5</v>
      </c>
      <c r="AC2" s="42" t="s">
        <v>6</v>
      </c>
      <c r="AD2" s="42" t="s">
        <v>31</v>
      </c>
      <c r="AE2" s="42" t="s">
        <v>32</v>
      </c>
      <c r="AF2" s="43" t="s">
        <v>34</v>
      </c>
    </row>
    <row r="3" spans="2:47" ht="19.5" thickBot="1" x14ac:dyDescent="0.35">
      <c r="B3" s="5" t="s">
        <v>20</v>
      </c>
      <c r="C3" s="5" t="s">
        <v>20</v>
      </c>
      <c r="D3" t="str">
        <f>B3&amp;C3</f>
        <v>0101</v>
      </c>
      <c r="E3" s="5">
        <v>10</v>
      </c>
      <c r="F3" s="31" t="str">
        <f>VLOOKUP(E3,'Base Original'!$B$4:$C$16,2,0)</f>
        <v>AAB</v>
      </c>
      <c r="G3" s="31" t="str">
        <f>LEFT(F3,1)</f>
        <v>A</v>
      </c>
      <c r="H3" s="31" t="str">
        <f>MID(F3,2,1)</f>
        <v>A</v>
      </c>
      <c r="I3" s="31" t="str">
        <f>RIGHT(F3,1)</f>
        <v>B</v>
      </c>
      <c r="J3" s="31" t="str">
        <f>G3&amp;H3</f>
        <v>AA</v>
      </c>
      <c r="K3" s="31" t="str">
        <f>G3&amp;I3</f>
        <v>AB</v>
      </c>
      <c r="L3" s="31" t="str">
        <f>H3&amp;I3</f>
        <v>AB</v>
      </c>
      <c r="M3">
        <v>22.67</v>
      </c>
      <c r="O3" t="s">
        <v>7</v>
      </c>
      <c r="P3">
        <v>12</v>
      </c>
      <c r="R3" s="1" t="s">
        <v>8</v>
      </c>
      <c r="S3" s="1" t="s">
        <v>10</v>
      </c>
      <c r="T3" s="1" t="s">
        <v>11</v>
      </c>
      <c r="U3" s="1" t="s">
        <v>12</v>
      </c>
      <c r="W3">
        <v>2</v>
      </c>
      <c r="X3">
        <v>12</v>
      </c>
      <c r="Y3">
        <v>12</v>
      </c>
      <c r="AA3" s="33" t="s">
        <v>7</v>
      </c>
      <c r="AB3" s="34">
        <f>AB4+AB5+AB6+AB8+AB10+AB12+AB14</f>
        <v>50.973217708378797</v>
      </c>
      <c r="AC3" s="35">
        <f>P3-1</f>
        <v>11</v>
      </c>
      <c r="AD3" s="34">
        <f>IFERROR(AB3/AC3,"-")</f>
        <v>4.633928882579891</v>
      </c>
      <c r="AE3" s="34">
        <f>IFERROR(AD3/$AD$17,"-")</f>
        <v>6.9749812947707355</v>
      </c>
      <c r="AF3" s="36">
        <f>IFERROR(_xlfn.F.DIST.RT(AE3,AC3,$AC$17),"-")</f>
        <v>2.6814903794914594E-10</v>
      </c>
      <c r="AI3" s="48" t="s">
        <v>86</v>
      </c>
      <c r="AJ3" s="47">
        <f>AVERAGE(M3:M290)</f>
        <v>24.250312499999989</v>
      </c>
    </row>
    <row r="4" spans="2:47" ht="19.5" thickBot="1" x14ac:dyDescent="0.3">
      <c r="B4" s="5" t="s">
        <v>20</v>
      </c>
      <c r="C4" s="5" t="s">
        <v>21</v>
      </c>
      <c r="D4" t="str">
        <f t="shared" ref="D4:D67" si="0">B4&amp;C4</f>
        <v>0102</v>
      </c>
      <c r="E4" s="5" t="s">
        <v>26</v>
      </c>
      <c r="F4" s="31" t="str">
        <f>VLOOKUP(E4,'Base Original'!$B$4:$C$16,2,0)</f>
        <v>ABB</v>
      </c>
      <c r="G4" s="31" t="str">
        <f t="shared" ref="G4:G67" si="1">LEFT(F4,1)</f>
        <v>A</v>
      </c>
      <c r="H4" s="31" t="str">
        <f t="shared" ref="H4:H67" si="2">MID(F4,2,1)</f>
        <v>B</v>
      </c>
      <c r="I4" s="31" t="str">
        <f t="shared" ref="I4:I67" si="3">RIGHT(F4,1)</f>
        <v>B</v>
      </c>
      <c r="J4" s="31" t="str">
        <f t="shared" ref="J4:J67" si="4">G4&amp;H4</f>
        <v>AB</v>
      </c>
      <c r="K4" s="31" t="str">
        <f t="shared" ref="K4:K67" si="5">G4&amp;I4</f>
        <v>AB</v>
      </c>
      <c r="L4" s="31" t="str">
        <f t="shared" ref="L4:L67" si="6">H4&amp;I4</f>
        <v>BB</v>
      </c>
      <c r="M4">
        <v>23.73</v>
      </c>
      <c r="O4" t="s">
        <v>8</v>
      </c>
      <c r="P4">
        <v>12</v>
      </c>
      <c r="R4" s="5" t="s">
        <v>20</v>
      </c>
      <c r="S4">
        <f>SUMIFS($M$3:$M$290,$B$3:$B$290,R4)</f>
        <v>588.28</v>
      </c>
      <c r="T4">
        <f>S4^2</f>
        <v>346073.35839999997</v>
      </c>
      <c r="U4">
        <v>24</v>
      </c>
      <c r="W4" t="s">
        <v>16</v>
      </c>
      <c r="X4">
        <f>W3*X3*Y3</f>
        <v>288</v>
      </c>
      <c r="AA4" s="44" t="s">
        <v>59</v>
      </c>
      <c r="AB4" s="34">
        <f>SUM(T46:T48)/U46-SUM(S46:S48)^2/X4</f>
        <v>4.2390895833377726</v>
      </c>
      <c r="AC4" s="35">
        <f>P6-1</f>
        <v>2</v>
      </c>
      <c r="AD4" s="34">
        <f t="shared" ref="AD4:AD17" si="7">IFERROR(AB4/AC4,"-")</f>
        <v>2.1195447916688863</v>
      </c>
      <c r="AE4" s="34">
        <f t="shared" ref="AE4:AE16" si="8">IFERROR(AD4/$AD$17,"-")</f>
        <v>3.1903349511675074</v>
      </c>
      <c r="AF4" s="36">
        <f t="shared" ref="AF4:AF16" si="9">IFERROR(_xlfn.F.DIST.RT(AE4,AC4,$AC$17),"-")</f>
        <v>4.2812642016275881E-2</v>
      </c>
    </row>
    <row r="5" spans="2:47" ht="21.75" thickBot="1" x14ac:dyDescent="0.3">
      <c r="B5" s="5" t="s">
        <v>20</v>
      </c>
      <c r="C5" s="5" t="s">
        <v>22</v>
      </c>
      <c r="D5" t="str">
        <f t="shared" si="0"/>
        <v>0103</v>
      </c>
      <c r="E5" s="5" t="s">
        <v>25</v>
      </c>
      <c r="F5" s="5" t="str">
        <f>VLOOKUP(E5,'Base Original'!$B$4:$C$16,2,0)</f>
        <v>CBA</v>
      </c>
      <c r="G5" s="5" t="str">
        <f t="shared" si="1"/>
        <v>C</v>
      </c>
      <c r="H5" s="5" t="str">
        <f t="shared" si="2"/>
        <v>B</v>
      </c>
      <c r="I5" s="5" t="str">
        <f t="shared" si="3"/>
        <v>A</v>
      </c>
      <c r="J5" s="5" t="str">
        <f t="shared" si="4"/>
        <v>CB</v>
      </c>
      <c r="K5" s="5" t="str">
        <f t="shared" si="5"/>
        <v>CA</v>
      </c>
      <c r="L5" s="5" t="str">
        <f t="shared" si="6"/>
        <v>BA</v>
      </c>
      <c r="M5">
        <v>24.48</v>
      </c>
      <c r="O5" t="s">
        <v>9</v>
      </c>
      <c r="P5">
        <v>12</v>
      </c>
      <c r="R5" s="5" t="s">
        <v>21</v>
      </c>
      <c r="S5">
        <f>SUMIFS($M$3:$M$290,$B$3:$B$290,R5)</f>
        <v>590.46</v>
      </c>
      <c r="T5">
        <f t="shared" ref="T5:T15" si="10">S5^2</f>
        <v>348643.01160000003</v>
      </c>
      <c r="U5">
        <v>24</v>
      </c>
      <c r="W5" s="3"/>
      <c r="X5" s="3"/>
      <c r="Y5" s="3"/>
      <c r="AA5" s="44" t="s">
        <v>60</v>
      </c>
      <c r="AB5" s="34">
        <f>SUM(T51:T52)/U51-SUM(S51:S52)^2/X4</f>
        <v>2.2773336805403233</v>
      </c>
      <c r="AC5" s="35">
        <f t="shared" ref="AC5:AC6" si="11">P7-1</f>
        <v>1</v>
      </c>
      <c r="AD5" s="34">
        <f t="shared" si="7"/>
        <v>2.2773336805403233</v>
      </c>
      <c r="AE5" s="34">
        <f t="shared" si="8"/>
        <v>3.4278384986514294</v>
      </c>
      <c r="AF5" s="36">
        <f t="shared" si="9"/>
        <v>6.5266578264355932E-2</v>
      </c>
      <c r="AI5" s="55" t="s">
        <v>87</v>
      </c>
      <c r="AJ5" s="53" t="s">
        <v>20</v>
      </c>
      <c r="AK5" s="53" t="s">
        <v>21</v>
      </c>
      <c r="AL5" s="53" t="s">
        <v>22</v>
      </c>
      <c r="AM5" s="53" t="s">
        <v>23</v>
      </c>
      <c r="AN5" s="53" t="s">
        <v>24</v>
      </c>
      <c r="AO5" s="53" t="s">
        <v>25</v>
      </c>
      <c r="AP5" s="53" t="s">
        <v>26</v>
      </c>
      <c r="AQ5" s="53" t="s">
        <v>27</v>
      </c>
      <c r="AR5" s="53" t="s">
        <v>28</v>
      </c>
      <c r="AS5" s="53">
        <v>10</v>
      </c>
      <c r="AT5" s="53">
        <v>11</v>
      </c>
      <c r="AU5" s="54">
        <v>12</v>
      </c>
    </row>
    <row r="6" spans="2:47" ht="21" x14ac:dyDescent="0.25">
      <c r="B6" s="5" t="s">
        <v>20</v>
      </c>
      <c r="C6" s="5" t="s">
        <v>23</v>
      </c>
      <c r="D6" t="str">
        <f t="shared" si="0"/>
        <v>0104</v>
      </c>
      <c r="E6" s="5" t="s">
        <v>28</v>
      </c>
      <c r="F6" s="5" t="str">
        <f>VLOOKUP(E6,'Base Original'!$B$4:$C$16,2,0)</f>
        <v>CBB</v>
      </c>
      <c r="G6" s="5" t="str">
        <f t="shared" si="1"/>
        <v>C</v>
      </c>
      <c r="H6" s="5" t="str">
        <f t="shared" si="2"/>
        <v>B</v>
      </c>
      <c r="I6" s="5" t="str">
        <f t="shared" si="3"/>
        <v>B</v>
      </c>
      <c r="J6" s="5" t="str">
        <f t="shared" si="4"/>
        <v>CB</v>
      </c>
      <c r="K6" s="5" t="str">
        <f t="shared" si="5"/>
        <v>CB</v>
      </c>
      <c r="L6" s="5" t="str">
        <f t="shared" si="6"/>
        <v>BB</v>
      </c>
      <c r="M6">
        <v>25.68</v>
      </c>
      <c r="O6" t="s">
        <v>59</v>
      </c>
      <c r="P6">
        <v>3</v>
      </c>
      <c r="R6" s="5" t="s">
        <v>22</v>
      </c>
      <c r="S6">
        <f>SUMIFS($M$3:$M$290,$B$3:$B$290,R6)</f>
        <v>580.63999999999976</v>
      </c>
      <c r="T6">
        <f t="shared" si="10"/>
        <v>337142.80959999975</v>
      </c>
      <c r="U6">
        <v>24</v>
      </c>
      <c r="AA6" s="44" t="s">
        <v>61</v>
      </c>
      <c r="AB6" s="34">
        <f>SUM($T$55:$T$56)/U55-SUM(S55:S56)^2/X4</f>
        <v>17.086883680545725</v>
      </c>
      <c r="AC6" s="35">
        <f t="shared" si="11"/>
        <v>1</v>
      </c>
      <c r="AD6" s="34">
        <f t="shared" si="7"/>
        <v>17.086883680545725</v>
      </c>
      <c r="AE6" s="34">
        <f t="shared" si="8"/>
        <v>25.719146123661954</v>
      </c>
      <c r="AF6" s="36">
        <f t="shared" si="9"/>
        <v>7.6225434509185032E-7</v>
      </c>
      <c r="AI6" s="56" t="s">
        <v>3</v>
      </c>
      <c r="AJ6" s="49">
        <f>AVERAGEIFS($M$3:$M$290,$B$3:$B$290,AJ$5)-$AJ$3</f>
        <v>0.26135416666667766</v>
      </c>
      <c r="AK6" s="49">
        <f t="shared" ref="AK6:AU6" si="12">AVERAGEIFS($M$3:$M$290,$B$3:$B$290,AK$5)-$AJ$3</f>
        <v>0.35218750000001364</v>
      </c>
      <c r="AL6" s="49">
        <f t="shared" si="12"/>
        <v>-5.6979166666664582E-2</v>
      </c>
      <c r="AM6" s="49">
        <f t="shared" si="12"/>
        <v>5.0520833333344228E-2</v>
      </c>
      <c r="AN6" s="49">
        <f t="shared" si="12"/>
        <v>0.24093750000000824</v>
      </c>
      <c r="AO6" s="49">
        <f t="shared" si="12"/>
        <v>3.2604166666679646E-2</v>
      </c>
      <c r="AP6" s="49">
        <f t="shared" si="12"/>
        <v>-0.14822916666665265</v>
      </c>
      <c r="AQ6" s="49">
        <f t="shared" si="12"/>
        <v>5.3854166666685188E-2</v>
      </c>
      <c r="AR6" s="49">
        <f t="shared" si="12"/>
        <v>-0.34447916666665535</v>
      </c>
      <c r="AS6" s="49">
        <f t="shared" si="12"/>
        <v>7.0937500000013642E-2</v>
      </c>
      <c r="AT6" s="49">
        <f t="shared" si="12"/>
        <v>7.1875000000147793E-3</v>
      </c>
      <c r="AU6" s="50">
        <f t="shared" si="12"/>
        <v>-0.51989583333332234</v>
      </c>
    </row>
    <row r="7" spans="2:47" ht="21.75" thickBot="1" x14ac:dyDescent="0.3">
      <c r="B7" s="5" t="s">
        <v>20</v>
      </c>
      <c r="C7" s="5" t="s">
        <v>24</v>
      </c>
      <c r="D7" t="str">
        <f t="shared" si="0"/>
        <v>0105</v>
      </c>
      <c r="E7" s="5" t="s">
        <v>22</v>
      </c>
      <c r="F7" s="5" t="str">
        <f>VLOOKUP(E7,'Base Original'!$B$4:$C$16,2,0)</f>
        <v>CAA</v>
      </c>
      <c r="G7" s="5" t="str">
        <f t="shared" si="1"/>
        <v>C</v>
      </c>
      <c r="H7" s="5" t="str">
        <f t="shared" si="2"/>
        <v>A</v>
      </c>
      <c r="I7" s="5" t="str">
        <f t="shared" si="3"/>
        <v>A</v>
      </c>
      <c r="J7" s="5" t="str">
        <f t="shared" si="4"/>
        <v>CA</v>
      </c>
      <c r="K7" s="5" t="str">
        <f t="shared" si="5"/>
        <v>CA</v>
      </c>
      <c r="L7" s="5" t="str">
        <f t="shared" si="6"/>
        <v>AA</v>
      </c>
      <c r="M7">
        <v>23.21</v>
      </c>
      <c r="O7" t="s">
        <v>60</v>
      </c>
      <c r="P7">
        <v>2</v>
      </c>
      <c r="R7" s="5" t="s">
        <v>23</v>
      </c>
      <c r="S7">
        <f>SUMIFS($M$3:$M$290,$B$3:$B$290,R7)</f>
        <v>583.22</v>
      </c>
      <c r="T7">
        <f t="shared" si="10"/>
        <v>340145.56840000005</v>
      </c>
      <c r="U7">
        <v>24</v>
      </c>
      <c r="AA7" s="45" t="s">
        <v>65</v>
      </c>
      <c r="AB7" s="32">
        <f>SUM($T$59:$T$64)/$U$59-SUM(S59:$S$64)^2/$X$4</f>
        <v>14.572690625063842</v>
      </c>
      <c r="AC7" s="9" t="s">
        <v>35</v>
      </c>
      <c r="AD7" s="8" t="str">
        <f t="shared" si="7"/>
        <v>-</v>
      </c>
      <c r="AE7" s="8" t="str">
        <f t="shared" si="8"/>
        <v>-</v>
      </c>
      <c r="AF7" s="10" t="str">
        <f t="shared" si="9"/>
        <v>-</v>
      </c>
      <c r="AI7" s="57" t="s">
        <v>2</v>
      </c>
      <c r="AJ7" s="51">
        <f>AVERAGEIFS($M$3:$M$290,$C$3:$C$290,AJ$5)-$AJ$3</f>
        <v>-0.50697916666666032</v>
      </c>
      <c r="AK7" s="51">
        <f t="shared" ref="AK7:AU7" si="13">AVERAGEIFS($M$3:$M$290,$C$3:$C$290,AK$5)-$AJ$3</f>
        <v>-0.22572916666665321</v>
      </c>
      <c r="AL7" s="51">
        <f t="shared" si="13"/>
        <v>-0.15739583333332519</v>
      </c>
      <c r="AM7" s="51">
        <f t="shared" si="13"/>
        <v>-0.20614583333331993</v>
      </c>
      <c r="AN7" s="51">
        <f t="shared" si="13"/>
        <v>-0.43281249999999361</v>
      </c>
      <c r="AO7" s="51">
        <f t="shared" si="13"/>
        <v>0.11343750000000696</v>
      </c>
      <c r="AP7" s="51">
        <f t="shared" si="13"/>
        <v>0.18093750000001307</v>
      </c>
      <c r="AQ7" s="51">
        <f t="shared" si="13"/>
        <v>-0.22697916666665208</v>
      </c>
      <c r="AR7" s="51">
        <f t="shared" si="13"/>
        <v>0.31927083333335204</v>
      </c>
      <c r="AS7" s="51">
        <f t="shared" si="13"/>
        <v>0.21510416666668064</v>
      </c>
      <c r="AT7" s="51">
        <f t="shared" si="13"/>
        <v>0.26260416666667652</v>
      </c>
      <c r="AU7" s="52">
        <f t="shared" si="13"/>
        <v>0.6646875000000172</v>
      </c>
    </row>
    <row r="8" spans="2:47" ht="19.5" thickBot="1" x14ac:dyDescent="0.3">
      <c r="B8" s="5" t="s">
        <v>20</v>
      </c>
      <c r="C8" s="5" t="s">
        <v>25</v>
      </c>
      <c r="D8" t="str">
        <f t="shared" si="0"/>
        <v>0106</v>
      </c>
      <c r="E8" s="5" t="s">
        <v>23</v>
      </c>
      <c r="F8" s="5" t="str">
        <f>VLOOKUP(E8,'Base Original'!$B$4:$C$16,2,0)</f>
        <v>ABA</v>
      </c>
      <c r="G8" s="5" t="str">
        <f t="shared" si="1"/>
        <v>A</v>
      </c>
      <c r="H8" s="5" t="str">
        <f t="shared" si="2"/>
        <v>B</v>
      </c>
      <c r="I8" s="5" t="str">
        <f t="shared" si="3"/>
        <v>A</v>
      </c>
      <c r="J8" s="5" t="str">
        <f t="shared" si="4"/>
        <v>AB</v>
      </c>
      <c r="K8" s="5" t="str">
        <f t="shared" si="5"/>
        <v>AA</v>
      </c>
      <c r="L8" s="5" t="str">
        <f t="shared" si="6"/>
        <v>BA</v>
      </c>
      <c r="M8">
        <v>25.96</v>
      </c>
      <c r="O8" t="s">
        <v>61</v>
      </c>
      <c r="P8">
        <v>2</v>
      </c>
      <c r="R8" s="5" t="s">
        <v>24</v>
      </c>
      <c r="S8">
        <f>SUMIFS($M$3:$M$290,$B$3:$B$290,R8)</f>
        <v>587.79</v>
      </c>
      <c r="T8">
        <f t="shared" si="10"/>
        <v>345497.08409999998</v>
      </c>
      <c r="U8">
        <v>24</v>
      </c>
      <c r="AA8" s="46" t="s">
        <v>79</v>
      </c>
      <c r="AB8" s="34">
        <f>AB7-AB4-AB5</f>
        <v>8.0562673611857463</v>
      </c>
      <c r="AC8" s="35">
        <f>AC4*AC5</f>
        <v>2</v>
      </c>
      <c r="AD8" s="34">
        <f t="shared" si="7"/>
        <v>4.0281336805928731</v>
      </c>
      <c r="AE8" s="34">
        <f t="shared" si="8"/>
        <v>6.0631394626257293</v>
      </c>
      <c r="AF8" s="36">
        <f t="shared" si="9"/>
        <v>2.6775420168666519E-3</v>
      </c>
      <c r="AI8" s="21"/>
      <c r="AJ8" s="4"/>
    </row>
    <row r="9" spans="2:47" ht="21.75" thickBot="1" x14ac:dyDescent="0.4">
      <c r="B9" s="5" t="s">
        <v>20</v>
      </c>
      <c r="C9" s="5" t="s">
        <v>26</v>
      </c>
      <c r="D9" t="str">
        <f t="shared" si="0"/>
        <v>0107</v>
      </c>
      <c r="E9" s="5">
        <v>12</v>
      </c>
      <c r="F9" s="5" t="str">
        <f>VLOOKUP(E9,'Base Original'!$B$4:$C$16,2,0)</f>
        <v>CAB</v>
      </c>
      <c r="G9" s="5" t="str">
        <f t="shared" si="1"/>
        <v>C</v>
      </c>
      <c r="H9" s="5" t="str">
        <f t="shared" si="2"/>
        <v>A</v>
      </c>
      <c r="I9" s="5" t="str">
        <f t="shared" si="3"/>
        <v>B</v>
      </c>
      <c r="J9" s="5" t="str">
        <f t="shared" si="4"/>
        <v>CA</v>
      </c>
      <c r="K9" s="5" t="str">
        <f t="shared" si="5"/>
        <v>CB</v>
      </c>
      <c r="L9" s="5" t="str">
        <f t="shared" si="6"/>
        <v>AB</v>
      </c>
      <c r="M9">
        <v>25.94</v>
      </c>
      <c r="R9" s="5" t="s">
        <v>25</v>
      </c>
      <c r="S9">
        <f>SUMIFS($M$3:$M$290,$B$3:$B$290,R9)</f>
        <v>582.79000000000008</v>
      </c>
      <c r="T9">
        <f t="shared" si="10"/>
        <v>339644.18410000007</v>
      </c>
      <c r="U9">
        <v>24</v>
      </c>
      <c r="AA9" s="45" t="s">
        <v>77</v>
      </c>
      <c r="AB9" s="32">
        <f>SUM($T$67:$T$72)/$U$67-SUM(S67:$S$72)^2/$X$4</f>
        <v>37.025611458317144</v>
      </c>
      <c r="AC9" s="9" t="s">
        <v>35</v>
      </c>
      <c r="AD9" s="8" t="str">
        <f t="shared" si="7"/>
        <v>-</v>
      </c>
      <c r="AE9" s="8" t="str">
        <f t="shared" si="8"/>
        <v>-</v>
      </c>
      <c r="AF9" s="10" t="str">
        <f t="shared" si="9"/>
        <v>-</v>
      </c>
      <c r="AI9" s="68" t="s">
        <v>1</v>
      </c>
      <c r="AJ9" s="69"/>
      <c r="AK9" s="69"/>
      <c r="AL9" s="69"/>
      <c r="AM9" s="69"/>
      <c r="AN9" s="70"/>
      <c r="AP9" s="20"/>
    </row>
    <row r="10" spans="2:47" ht="21.75" thickBot="1" x14ac:dyDescent="0.3">
      <c r="B10" s="5" t="s">
        <v>20</v>
      </c>
      <c r="C10" s="5" t="s">
        <v>27</v>
      </c>
      <c r="D10" t="str">
        <f t="shared" si="0"/>
        <v>0108</v>
      </c>
      <c r="E10" s="5" t="s">
        <v>24</v>
      </c>
      <c r="F10" s="5" t="str">
        <f>VLOOKUP(E10,'Base Original'!$B$4:$C$16,2,0)</f>
        <v>BBA</v>
      </c>
      <c r="G10" s="5" t="str">
        <f t="shared" si="1"/>
        <v>B</v>
      </c>
      <c r="H10" s="5" t="str">
        <f t="shared" si="2"/>
        <v>B</v>
      </c>
      <c r="I10" s="5" t="str">
        <f t="shared" si="3"/>
        <v>A</v>
      </c>
      <c r="J10" s="5" t="str">
        <f t="shared" si="4"/>
        <v>BB</v>
      </c>
      <c r="K10" s="5" t="str">
        <f t="shared" si="5"/>
        <v>BA</v>
      </c>
      <c r="L10" s="5" t="str">
        <f t="shared" si="6"/>
        <v>BA</v>
      </c>
      <c r="M10">
        <v>25.96</v>
      </c>
      <c r="R10" s="5" t="s">
        <v>26</v>
      </c>
      <c r="S10">
        <f>SUMIFS($M$3:$M$290,$B$3:$B$290,R10)</f>
        <v>578.45000000000005</v>
      </c>
      <c r="T10">
        <f t="shared" si="10"/>
        <v>334604.40250000003</v>
      </c>
      <c r="U10">
        <v>24</v>
      </c>
      <c r="AA10" s="46" t="s">
        <v>80</v>
      </c>
      <c r="AB10" s="34">
        <f>AB9-AB4-AB6</f>
        <v>15.699638194433646</v>
      </c>
      <c r="AC10" s="35">
        <f>AC4*AC6</f>
        <v>2</v>
      </c>
      <c r="AD10" s="34">
        <f t="shared" si="7"/>
        <v>7.8498190972168231</v>
      </c>
      <c r="AE10" s="34">
        <f t="shared" si="8"/>
        <v>11.815533375199029</v>
      </c>
      <c r="AF10" s="36">
        <f t="shared" si="9"/>
        <v>1.2400470478679537E-5</v>
      </c>
      <c r="AI10" s="73" t="s">
        <v>59</v>
      </c>
      <c r="AJ10" s="65" t="s">
        <v>85</v>
      </c>
      <c r="AK10" s="66" t="s">
        <v>60</v>
      </c>
      <c r="AL10" s="65" t="s">
        <v>85</v>
      </c>
      <c r="AM10" s="65" t="s">
        <v>61</v>
      </c>
      <c r="AN10" s="67" t="s">
        <v>85</v>
      </c>
      <c r="AP10" s="20"/>
    </row>
    <row r="11" spans="2:47" ht="21" x14ac:dyDescent="0.35">
      <c r="B11" s="5" t="s">
        <v>20</v>
      </c>
      <c r="C11" s="5" t="s">
        <v>28</v>
      </c>
      <c r="D11" t="str">
        <f t="shared" si="0"/>
        <v>0109</v>
      </c>
      <c r="E11" s="5" t="s">
        <v>27</v>
      </c>
      <c r="F11" s="5" t="str">
        <f>VLOOKUP(E11,'Base Original'!$B$4:$C$16,2,0)</f>
        <v>BBB</v>
      </c>
      <c r="G11" s="5" t="str">
        <f t="shared" si="1"/>
        <v>B</v>
      </c>
      <c r="H11" s="5" t="str">
        <f t="shared" si="2"/>
        <v>B</v>
      </c>
      <c r="I11" s="5" t="str">
        <f t="shared" si="3"/>
        <v>B</v>
      </c>
      <c r="J11" s="5" t="str">
        <f t="shared" si="4"/>
        <v>BB</v>
      </c>
      <c r="K11" s="5" t="str">
        <f t="shared" si="5"/>
        <v>BB</v>
      </c>
      <c r="L11" s="5" t="str">
        <f t="shared" si="6"/>
        <v>BB</v>
      </c>
      <c r="M11">
        <v>24.84</v>
      </c>
      <c r="R11" s="5" t="s">
        <v>27</v>
      </c>
      <c r="S11">
        <f>SUMIFS($M$3:$M$290,$B$3:$B$290,R11)</f>
        <v>583.30000000000018</v>
      </c>
      <c r="T11">
        <f t="shared" si="10"/>
        <v>340238.89000000019</v>
      </c>
      <c r="U11">
        <v>24</v>
      </c>
      <c r="AA11" s="45" t="s">
        <v>78</v>
      </c>
      <c r="AB11" s="32">
        <f>SUM($T$75:$T$78)/$U$75-SUM(S75:$S$78)^2/$X$4</f>
        <v>19.418942708376562</v>
      </c>
      <c r="AC11" s="9" t="s">
        <v>35</v>
      </c>
      <c r="AD11" s="8" t="str">
        <f t="shared" si="7"/>
        <v>-</v>
      </c>
      <c r="AE11" s="8" t="str">
        <f t="shared" si="8"/>
        <v>-</v>
      </c>
      <c r="AF11" s="10" t="str">
        <f t="shared" si="9"/>
        <v>-</v>
      </c>
      <c r="AI11" s="60" t="s">
        <v>62</v>
      </c>
      <c r="AJ11" s="49">
        <f>AVERAGEIFS($M$3:$M$290,$G$3:$G$290,AI11)-$AJ$3</f>
        <v>0.17072916666666771</v>
      </c>
      <c r="AK11" s="49" t="s">
        <v>62</v>
      </c>
      <c r="AL11" s="87">
        <f>AVERAGEIFS($M$3:$M$290,$H$3:$H$290,AK11)-$AJ$3</f>
        <v>-8.8923611111098921E-2</v>
      </c>
      <c r="AM11" s="49" t="s">
        <v>62</v>
      </c>
      <c r="AN11" s="85">
        <f>AVERAGEIFS($M$3:$M$290,$I$3:$I$290,AM11)-$AJ$3</f>
        <v>0.2435763888888971</v>
      </c>
      <c r="AP11" s="20"/>
    </row>
    <row r="12" spans="2:47" ht="21" x14ac:dyDescent="0.35">
      <c r="B12" s="5" t="s">
        <v>20</v>
      </c>
      <c r="C12" s="5">
        <v>10</v>
      </c>
      <c r="D12" t="str">
        <f t="shared" si="0"/>
        <v>0110</v>
      </c>
      <c r="E12" s="5" t="s">
        <v>21</v>
      </c>
      <c r="F12" s="5" t="str">
        <f>VLOOKUP(E12,'Base Original'!$B$4:$C$16,2,0)</f>
        <v>BAA</v>
      </c>
      <c r="G12" s="5" t="str">
        <f t="shared" si="1"/>
        <v>B</v>
      </c>
      <c r="H12" s="5" t="str">
        <f t="shared" si="2"/>
        <v>A</v>
      </c>
      <c r="I12" s="5" t="str">
        <f t="shared" si="3"/>
        <v>A</v>
      </c>
      <c r="J12" s="5" t="str">
        <f t="shared" si="4"/>
        <v>BA</v>
      </c>
      <c r="K12" s="5" t="str">
        <f t="shared" si="5"/>
        <v>BA</v>
      </c>
      <c r="L12" s="5" t="str">
        <f t="shared" si="6"/>
        <v>AA</v>
      </c>
      <c r="M12">
        <v>24.56</v>
      </c>
      <c r="R12" s="5" t="s">
        <v>28</v>
      </c>
      <c r="S12">
        <f>SUMIFS($M$3:$M$290,$B$3:$B$290,R12)</f>
        <v>573.74</v>
      </c>
      <c r="T12">
        <f t="shared" si="10"/>
        <v>329177.58760000003</v>
      </c>
      <c r="U12">
        <v>24</v>
      </c>
      <c r="AA12" s="46" t="s">
        <v>78</v>
      </c>
      <c r="AB12" s="34">
        <f>AB11-AB5-AB6</f>
        <v>5.4725347290514037E-2</v>
      </c>
      <c r="AC12" s="35">
        <f>AC5*AC6</f>
        <v>1</v>
      </c>
      <c r="AD12" s="34">
        <f t="shared" si="7"/>
        <v>5.4725347290514037E-2</v>
      </c>
      <c r="AE12" s="34">
        <f t="shared" si="8"/>
        <v>8.2372492839953931E-2</v>
      </c>
      <c r="AF12" s="36">
        <f t="shared" si="9"/>
        <v>0.77434165169722435</v>
      </c>
      <c r="AI12" s="60" t="s">
        <v>64</v>
      </c>
      <c r="AJ12" s="49">
        <f t="shared" ref="AJ12:AJ13" si="14">AVERAGEIFS($M$3:$M$290,$G$3:$G$290,AI12)-$AJ$3</f>
        <v>-0.10010416666665378</v>
      </c>
      <c r="AK12" s="49" t="s">
        <v>64</v>
      </c>
      <c r="AL12" s="87">
        <f>AVERAGEIFS($M$3:$M$290,$H$3:$H$290,AK12)-$AJ$3</f>
        <v>8.8923611111116685E-2</v>
      </c>
      <c r="AM12" s="49" t="s">
        <v>64</v>
      </c>
      <c r="AN12" s="85">
        <f>AVERAGEIFS($M$3:$M$290,$I$3:$I$290,AM12)-$AJ$3</f>
        <v>-0.24357638888887578</v>
      </c>
      <c r="AP12" s="20"/>
    </row>
    <row r="13" spans="2:47" ht="21.75" thickBot="1" x14ac:dyDescent="0.4">
      <c r="B13" s="5" t="s">
        <v>20</v>
      </c>
      <c r="C13" s="5">
        <v>11</v>
      </c>
      <c r="D13" t="str">
        <f t="shared" si="0"/>
        <v>0111</v>
      </c>
      <c r="E13" s="5" t="s">
        <v>20</v>
      </c>
      <c r="F13" s="5" t="str">
        <f>VLOOKUP(E13,'Base Original'!$B$4:$C$16,2,0)</f>
        <v>AAA</v>
      </c>
      <c r="G13" s="5" t="str">
        <f t="shared" si="1"/>
        <v>A</v>
      </c>
      <c r="H13" s="5" t="str">
        <f t="shared" si="2"/>
        <v>A</v>
      </c>
      <c r="I13" s="5" t="str">
        <f t="shared" si="3"/>
        <v>A</v>
      </c>
      <c r="J13" s="5" t="str">
        <f t="shared" si="4"/>
        <v>AA</v>
      </c>
      <c r="K13" s="5" t="str">
        <f t="shared" si="5"/>
        <v>AA</v>
      </c>
      <c r="L13" s="5" t="str">
        <f t="shared" si="6"/>
        <v>AA</v>
      </c>
      <c r="M13">
        <v>25.27</v>
      </c>
      <c r="R13" s="5">
        <v>10</v>
      </c>
      <c r="S13">
        <f>SUMIFS($M$3:$M$290,$B$3:$B$290,R13)</f>
        <v>583.71</v>
      </c>
      <c r="T13">
        <f t="shared" si="10"/>
        <v>340717.36410000006</v>
      </c>
      <c r="U13">
        <v>24</v>
      </c>
      <c r="AA13" s="45" t="s">
        <v>82</v>
      </c>
      <c r="AB13" s="32">
        <f>SUM($T$81:$T$92)/U81-SUM($S$81:$S$92)^2/$X$4</f>
        <v>50.973217708378797</v>
      </c>
      <c r="AC13" s="9" t="s">
        <v>35</v>
      </c>
      <c r="AD13" s="8" t="str">
        <f t="shared" si="7"/>
        <v>-</v>
      </c>
      <c r="AE13" s="8" t="str">
        <f t="shared" si="8"/>
        <v>-</v>
      </c>
      <c r="AF13" s="10" t="str">
        <f t="shared" si="9"/>
        <v>-</v>
      </c>
      <c r="AI13" s="61" t="s">
        <v>63</v>
      </c>
      <c r="AJ13" s="51">
        <f t="shared" si="14"/>
        <v>-7.0624999999989058E-2</v>
      </c>
      <c r="AK13" s="51"/>
      <c r="AL13" s="51"/>
      <c r="AM13" s="62"/>
      <c r="AN13" s="63"/>
      <c r="AP13" s="20"/>
    </row>
    <row r="14" spans="2:47" ht="19.5" thickBot="1" x14ac:dyDescent="0.3">
      <c r="B14" s="5" t="s">
        <v>20</v>
      </c>
      <c r="C14" s="5">
        <v>12</v>
      </c>
      <c r="D14" t="str">
        <f t="shared" si="0"/>
        <v>0112</v>
      </c>
      <c r="E14" s="5">
        <v>11</v>
      </c>
      <c r="F14" s="5" t="str">
        <f>VLOOKUP(E14,'Base Original'!$B$4:$C$16,2,0)</f>
        <v>BAB</v>
      </c>
      <c r="G14" s="5" t="str">
        <f t="shared" si="1"/>
        <v>B</v>
      </c>
      <c r="H14" s="5" t="str">
        <f t="shared" si="2"/>
        <v>A</v>
      </c>
      <c r="I14" s="5" t="str">
        <f t="shared" si="3"/>
        <v>B</v>
      </c>
      <c r="J14" s="5" t="str">
        <f t="shared" si="4"/>
        <v>BA</v>
      </c>
      <c r="K14" s="5" t="str">
        <f t="shared" si="5"/>
        <v>BB</v>
      </c>
      <c r="L14" s="5" t="str">
        <f t="shared" si="6"/>
        <v>AB</v>
      </c>
      <c r="M14">
        <v>23.61</v>
      </c>
      <c r="R14" s="5">
        <v>11</v>
      </c>
      <c r="S14">
        <f>SUMIFS($M$3:$M$290,$B$3:$B$290,R14)</f>
        <v>582.18000000000006</v>
      </c>
      <c r="T14">
        <f t="shared" si="10"/>
        <v>338933.5524000001</v>
      </c>
      <c r="U14">
        <v>24</v>
      </c>
      <c r="AA14" s="46" t="s">
        <v>83</v>
      </c>
      <c r="AB14" s="34">
        <f>AB13-AB4-AB5-AB6-AB8-AB10-AB12</f>
        <v>3.55927986104507</v>
      </c>
      <c r="AC14" s="35">
        <f>AC4*AC5*AC6</f>
        <v>2</v>
      </c>
      <c r="AD14" s="34">
        <f t="shared" si="7"/>
        <v>1.779639930522535</v>
      </c>
      <c r="AE14" s="34">
        <f t="shared" si="8"/>
        <v>2.6787107746701091</v>
      </c>
      <c r="AF14" s="36">
        <f t="shared" si="9"/>
        <v>7.0591053399802761E-2</v>
      </c>
      <c r="AI14" s="20"/>
      <c r="AJ14" s="20"/>
      <c r="AK14" s="20"/>
      <c r="AL14" s="20"/>
      <c r="AM14"/>
      <c r="AN14"/>
      <c r="AP14" s="20"/>
    </row>
    <row r="15" spans="2:47" ht="21" x14ac:dyDescent="0.35">
      <c r="B15" s="5" t="s">
        <v>20</v>
      </c>
      <c r="C15" s="5" t="s">
        <v>20</v>
      </c>
      <c r="D15" t="str">
        <f t="shared" si="0"/>
        <v>0101</v>
      </c>
      <c r="E15" s="5">
        <v>10</v>
      </c>
      <c r="F15" s="5" t="str">
        <f>VLOOKUP(E15,'Base Original'!$B$4:$C$16,2,0)</f>
        <v>AAB</v>
      </c>
      <c r="G15" s="5" t="str">
        <f t="shared" si="1"/>
        <v>A</v>
      </c>
      <c r="H15" s="5" t="str">
        <f t="shared" si="2"/>
        <v>A</v>
      </c>
      <c r="I15" s="5" t="str">
        <f t="shared" si="3"/>
        <v>B</v>
      </c>
      <c r="J15" s="5" t="str">
        <f t="shared" si="4"/>
        <v>AA</v>
      </c>
      <c r="K15" s="5" t="str">
        <f t="shared" si="5"/>
        <v>AB</v>
      </c>
      <c r="L15" s="5" t="str">
        <f t="shared" si="6"/>
        <v>AB</v>
      </c>
      <c r="M15">
        <v>22.97</v>
      </c>
      <c r="R15" s="5">
        <v>12</v>
      </c>
      <c r="S15">
        <f>SUMIFS($M$3:$M$290,$B$3:$B$290,R15)</f>
        <v>569.53</v>
      </c>
      <c r="T15">
        <f t="shared" si="10"/>
        <v>324364.42089999997</v>
      </c>
      <c r="U15">
        <v>24</v>
      </c>
      <c r="AA15" s="33" t="s">
        <v>8</v>
      </c>
      <c r="AB15" s="34">
        <v>16.22804270836059</v>
      </c>
      <c r="AC15" s="35">
        <f>P4-1</f>
        <v>11</v>
      </c>
      <c r="AD15" s="34">
        <f t="shared" si="7"/>
        <v>1.4752766098509627</v>
      </c>
      <c r="AE15" s="34">
        <f t="shared" si="8"/>
        <v>2.2205836600138724</v>
      </c>
      <c r="AF15" s="36">
        <f t="shared" si="9"/>
        <v>1.3918673761259328E-2</v>
      </c>
      <c r="AH15" s="22"/>
      <c r="AI15" s="68" t="s">
        <v>84</v>
      </c>
      <c r="AJ15" s="69"/>
      <c r="AK15" s="69"/>
      <c r="AL15" s="69"/>
      <c r="AM15" s="69"/>
      <c r="AN15" s="69"/>
      <c r="AO15" s="78"/>
      <c r="AP15" s="79"/>
    </row>
    <row r="16" spans="2:47" ht="21.75" thickBot="1" x14ac:dyDescent="0.3">
      <c r="B16" s="5" t="s">
        <v>20</v>
      </c>
      <c r="C16" s="5" t="s">
        <v>21</v>
      </c>
      <c r="D16" t="str">
        <f t="shared" si="0"/>
        <v>0102</v>
      </c>
      <c r="E16" s="5" t="s">
        <v>26</v>
      </c>
      <c r="F16" s="5" t="str">
        <f>VLOOKUP(E16,'Base Original'!$B$4:$C$16,2,0)</f>
        <v>ABB</v>
      </c>
      <c r="G16" s="5" t="str">
        <f t="shared" si="1"/>
        <v>A</v>
      </c>
      <c r="H16" s="5" t="str">
        <f t="shared" si="2"/>
        <v>B</v>
      </c>
      <c r="I16" s="5" t="str">
        <f t="shared" si="3"/>
        <v>B</v>
      </c>
      <c r="J16" s="5" t="str">
        <f t="shared" si="4"/>
        <v>AB</v>
      </c>
      <c r="K16" s="5" t="str">
        <f t="shared" si="5"/>
        <v>AB</v>
      </c>
      <c r="L16" s="5" t="str">
        <f t="shared" si="6"/>
        <v>BB</v>
      </c>
      <c r="M16">
        <v>23.56</v>
      </c>
      <c r="R16" s="3"/>
      <c r="S16" s="3"/>
      <c r="T16" s="3"/>
      <c r="U16" s="3"/>
      <c r="AA16" s="33" t="s">
        <v>9</v>
      </c>
      <c r="AB16" s="34">
        <f>SUM(T18:T29)/U18-SUM(S18:S29)^2/X4</f>
        <v>31.648267708369531</v>
      </c>
      <c r="AC16" s="35">
        <f>P5-1</f>
        <v>11</v>
      </c>
      <c r="AD16" s="34">
        <f t="shared" si="7"/>
        <v>2.8771152462154119</v>
      </c>
      <c r="AE16" s="34">
        <f t="shared" si="8"/>
        <v>4.3306286163976795</v>
      </c>
      <c r="AF16" s="36">
        <f t="shared" si="9"/>
        <v>6.1366178192310547E-6</v>
      </c>
      <c r="AI16" s="74" t="s">
        <v>88</v>
      </c>
      <c r="AJ16" s="75" t="s">
        <v>85</v>
      </c>
      <c r="AK16" s="76" t="s">
        <v>89</v>
      </c>
      <c r="AL16" s="75" t="s">
        <v>85</v>
      </c>
      <c r="AM16" s="75" t="s">
        <v>90</v>
      </c>
      <c r="AN16" s="75" t="s">
        <v>85</v>
      </c>
      <c r="AO16" s="84" t="s">
        <v>91</v>
      </c>
      <c r="AP16" s="77" t="s">
        <v>85</v>
      </c>
      <c r="AR16" s="20"/>
    </row>
    <row r="17" spans="2:44" ht="21" x14ac:dyDescent="0.25">
      <c r="B17" s="5" t="s">
        <v>20</v>
      </c>
      <c r="C17" s="5" t="s">
        <v>22</v>
      </c>
      <c r="D17" t="str">
        <f t="shared" si="0"/>
        <v>0103</v>
      </c>
      <c r="E17" s="5" t="s">
        <v>25</v>
      </c>
      <c r="F17" s="5" t="str">
        <f>VLOOKUP(E17,'Base Original'!$B$4:$C$16,2,0)</f>
        <v>CBA</v>
      </c>
      <c r="G17" s="5" t="str">
        <f t="shared" si="1"/>
        <v>C</v>
      </c>
      <c r="H17" s="5" t="str">
        <f t="shared" si="2"/>
        <v>B</v>
      </c>
      <c r="I17" s="5" t="str">
        <f t="shared" si="3"/>
        <v>A</v>
      </c>
      <c r="J17" s="5" t="str">
        <f t="shared" si="4"/>
        <v>CB</v>
      </c>
      <c r="K17" s="5" t="str">
        <f t="shared" si="5"/>
        <v>CA</v>
      </c>
      <c r="L17" s="5" t="str">
        <f t="shared" si="6"/>
        <v>BA</v>
      </c>
      <c r="M17">
        <v>25.57</v>
      </c>
      <c r="R17" t="s">
        <v>17</v>
      </c>
      <c r="S17" t="s">
        <v>10</v>
      </c>
      <c r="T17" t="s">
        <v>11</v>
      </c>
      <c r="U17" t="s">
        <v>12</v>
      </c>
      <c r="AA17" s="33" t="s">
        <v>30</v>
      </c>
      <c r="AB17" s="34">
        <f>AB18-AB20-AB16-AB15-AB3</f>
        <v>168.74854374989121</v>
      </c>
      <c r="AC17" s="35">
        <f>AC18-AC16-AC15-AC3</f>
        <v>254</v>
      </c>
      <c r="AD17" s="34">
        <f t="shared" si="7"/>
        <v>0.66436434547201262</v>
      </c>
      <c r="AE17" s="34"/>
      <c r="AF17" s="36"/>
      <c r="AI17" s="71" t="s">
        <v>69</v>
      </c>
      <c r="AJ17" s="72">
        <f>AVERAGEIFS($M$3:$M$290,$J$3:$J$290,AI17)-$AJ$3</f>
        <v>4.1354166666682346E-2</v>
      </c>
      <c r="AK17" s="72" t="s">
        <v>70</v>
      </c>
      <c r="AL17" s="72">
        <f>AVERAGEIFS($M$3:$M$290,$K$3:$K$290,AK17)-$AJ$3</f>
        <v>-0.34093749999998835</v>
      </c>
      <c r="AM17" s="72" t="s">
        <v>70</v>
      </c>
      <c r="AN17" s="72">
        <f>AVERAGEIFS($M$3:$M$290,$L$3:$L$290,AM17)-$AJ$3</f>
        <v>-0.34628472222221518</v>
      </c>
      <c r="AO17" s="72" t="s">
        <v>51</v>
      </c>
      <c r="AP17" s="86">
        <f>AVERAGEIFS($M$3:$M$290,$F$3:$F$290,AO17)-$AJ$3</f>
        <v>-0.64114583333331865</v>
      </c>
      <c r="AR17" s="20"/>
    </row>
    <row r="18" spans="2:44" ht="21.75" thickBot="1" x14ac:dyDescent="0.3">
      <c r="B18" s="5" t="s">
        <v>20</v>
      </c>
      <c r="C18" s="5" t="s">
        <v>23</v>
      </c>
      <c r="D18" t="str">
        <f t="shared" si="0"/>
        <v>0104</v>
      </c>
      <c r="E18" s="5" t="s">
        <v>28</v>
      </c>
      <c r="F18" s="5" t="str">
        <f>VLOOKUP(E18,'Base Original'!$B$4:$C$16,2,0)</f>
        <v>CBB</v>
      </c>
      <c r="G18" s="5" t="str">
        <f t="shared" si="1"/>
        <v>C</v>
      </c>
      <c r="H18" s="5" t="str">
        <f t="shared" si="2"/>
        <v>B</v>
      </c>
      <c r="I18" s="5" t="str">
        <f t="shared" si="3"/>
        <v>B</v>
      </c>
      <c r="J18" s="5" t="str">
        <f t="shared" si="4"/>
        <v>CB</v>
      </c>
      <c r="K18" s="5" t="str">
        <f t="shared" si="5"/>
        <v>CB</v>
      </c>
      <c r="L18" s="5" t="str">
        <f t="shared" si="6"/>
        <v>BB</v>
      </c>
      <c r="M18">
        <v>23.77</v>
      </c>
      <c r="R18" s="5" t="s">
        <v>20</v>
      </c>
      <c r="S18">
        <f>SUMIFS($M$3:$M$290,$C$3:$C$290,R4)</f>
        <v>569.83999999999992</v>
      </c>
      <c r="T18">
        <f>S18^2</f>
        <v>324717.62559999991</v>
      </c>
      <c r="U18">
        <v>24</v>
      </c>
      <c r="AA18" s="37" t="s">
        <v>10</v>
      </c>
      <c r="AB18" s="38">
        <f>SUM($R$95:$R$382)</f>
        <v>267.59807187500013</v>
      </c>
      <c r="AC18" s="39">
        <f>X4-1</f>
        <v>287</v>
      </c>
      <c r="AD18" s="39"/>
      <c r="AE18" s="39"/>
      <c r="AF18" s="40"/>
      <c r="AI18" s="60" t="s">
        <v>70</v>
      </c>
      <c r="AJ18" s="49">
        <f>AVERAGEIFS($M$3:$M$290,$J$3:$J$290,AI18)-$AJ$3</f>
        <v>0.30010416666667439</v>
      </c>
      <c r="AK18" s="49" t="s">
        <v>72</v>
      </c>
      <c r="AL18" s="49">
        <f t="shared" ref="AL18:AL22" si="15">AVERAGEIFS($M$3:$M$290,$K$3:$K$290,AK18)-$AJ$3</f>
        <v>-0.12802083333333059</v>
      </c>
      <c r="AM18" s="49" t="s">
        <v>73</v>
      </c>
      <c r="AN18" s="49">
        <f t="shared" ref="AN18:AN20" si="16">AVERAGEIFS($M$3:$M$290,$L$3:$L$290,AM18)-$AJ$3</f>
        <v>-0.1408680555555506</v>
      </c>
      <c r="AO18" s="49" t="s">
        <v>48</v>
      </c>
      <c r="AP18" s="50">
        <f t="shared" ref="AP18:AP28" si="17">AVERAGEIFS($M$3:$M$290,$F$3:$F$290,AO18)-$AJ$3</f>
        <v>-4.072916666665094E-2</v>
      </c>
      <c r="AR18" s="20"/>
    </row>
    <row r="19" spans="2:44" ht="21.75" thickBot="1" x14ac:dyDescent="0.3">
      <c r="B19" s="5" t="s">
        <v>20</v>
      </c>
      <c r="C19" s="5" t="s">
        <v>24</v>
      </c>
      <c r="D19" t="str">
        <f t="shared" si="0"/>
        <v>0105</v>
      </c>
      <c r="E19" s="5" t="s">
        <v>22</v>
      </c>
      <c r="F19" s="5" t="str">
        <f>VLOOKUP(E19,'Base Original'!$B$4:$C$16,2,0)</f>
        <v>CAA</v>
      </c>
      <c r="G19" s="5" t="str">
        <f t="shared" si="1"/>
        <v>C</v>
      </c>
      <c r="H19" s="5" t="str">
        <f t="shared" si="2"/>
        <v>A</v>
      </c>
      <c r="I19" s="5" t="str">
        <f t="shared" si="3"/>
        <v>A</v>
      </c>
      <c r="J19" s="5" t="str">
        <f t="shared" si="4"/>
        <v>CA</v>
      </c>
      <c r="K19" s="5" t="str">
        <f t="shared" si="5"/>
        <v>CA</v>
      </c>
      <c r="L19" s="5" t="str">
        <f t="shared" si="6"/>
        <v>AA</v>
      </c>
      <c r="M19">
        <v>23.37</v>
      </c>
      <c r="R19" s="5" t="s">
        <v>21</v>
      </c>
      <c r="S19">
        <f>SUMIFS($M$3:$M$290,$C$3:$C$290,R5)</f>
        <v>576.59</v>
      </c>
      <c r="T19">
        <f t="shared" ref="T19:T29" si="18">S19^2</f>
        <v>332456.02810000005</v>
      </c>
      <c r="U19">
        <v>24</v>
      </c>
      <c r="AA19" s="41" t="s">
        <v>92</v>
      </c>
      <c r="AB19" s="89">
        <f>$S$32^2/$U$32+SUM($S$33:$S$43)^2/SUM($U$33:$U$43)-SUM($S$32:$S$43)^2/$X$4</f>
        <v>13.718352556868922</v>
      </c>
      <c r="AC19" s="42">
        <v>1</v>
      </c>
      <c r="AD19" s="89">
        <f>AB19/AC19</f>
        <v>13.718352556868922</v>
      </c>
      <c r="AE19" s="89">
        <f>AD19/AD17</f>
        <v>20.648839225594518</v>
      </c>
      <c r="AF19" s="90">
        <f>IFERROR(_xlfn.F.DIST.RT(AE19,AC19,$AC$17),"-")</f>
        <v>8.537233671186836E-6</v>
      </c>
      <c r="AI19" s="60" t="s">
        <v>71</v>
      </c>
      <c r="AJ19" s="49">
        <f t="shared" ref="AJ19:AJ22" si="19">AVERAGEIFS($M$3:$M$290,$J$3:$J$290,AI19)-$AJ$3</f>
        <v>0.19989583333334338</v>
      </c>
      <c r="AK19" s="49" t="s">
        <v>71</v>
      </c>
      <c r="AL19" s="49">
        <f t="shared" si="15"/>
        <v>-1.3229166666654635E-2</v>
      </c>
      <c r="AM19" s="49" t="s">
        <v>74</v>
      </c>
      <c r="AN19" s="49">
        <f t="shared" si="16"/>
        <v>0.31871527777778752</v>
      </c>
      <c r="AO19" s="49" t="s">
        <v>47</v>
      </c>
      <c r="AP19" s="50">
        <f t="shared" si="17"/>
        <v>0.2009375000000162</v>
      </c>
      <c r="AR19" s="20"/>
    </row>
    <row r="20" spans="2:44" ht="21" x14ac:dyDescent="0.25">
      <c r="B20" s="5" t="s">
        <v>20</v>
      </c>
      <c r="C20" s="5" t="s">
        <v>25</v>
      </c>
      <c r="D20" t="str">
        <f t="shared" si="0"/>
        <v>0106</v>
      </c>
      <c r="E20" s="5" t="s">
        <v>23</v>
      </c>
      <c r="F20" s="5" t="str">
        <f>VLOOKUP(E20,'Base Original'!$B$4:$C$16,2,0)</f>
        <v>ABA</v>
      </c>
      <c r="G20" s="5" t="str">
        <f t="shared" si="1"/>
        <v>A</v>
      </c>
      <c r="H20" s="5" t="str">
        <f t="shared" si="2"/>
        <v>B</v>
      </c>
      <c r="I20" s="5" t="str">
        <f t="shared" si="3"/>
        <v>A</v>
      </c>
      <c r="J20" s="5" t="str">
        <f t="shared" si="4"/>
        <v>AB</v>
      </c>
      <c r="K20" s="5" t="str">
        <f t="shared" si="5"/>
        <v>AA</v>
      </c>
      <c r="L20" s="5" t="str">
        <f t="shared" si="6"/>
        <v>BA</v>
      </c>
      <c r="M20">
        <v>24.9</v>
      </c>
      <c r="R20" s="5" t="s">
        <v>22</v>
      </c>
      <c r="S20">
        <f>SUMIFS($M$3:$M$290,$C$3:$C$290,R6)</f>
        <v>578.2299999999999</v>
      </c>
      <c r="T20">
        <f t="shared" si="18"/>
        <v>334349.9328999999</v>
      </c>
      <c r="U20">
        <v>24</v>
      </c>
      <c r="AA20" s="7"/>
      <c r="AB20" s="8"/>
      <c r="AC20" s="9"/>
      <c r="AD20" s="8"/>
      <c r="AE20" s="8"/>
      <c r="AF20" s="10"/>
      <c r="AI20" s="60" t="s">
        <v>72</v>
      </c>
      <c r="AJ20" s="49">
        <f t="shared" si="19"/>
        <v>-0.3411458333333286</v>
      </c>
      <c r="AK20" s="49" t="s">
        <v>69</v>
      </c>
      <c r="AL20" s="49">
        <f t="shared" si="15"/>
        <v>0.68239583333334863</v>
      </c>
      <c r="AM20" s="49" t="s">
        <v>69</v>
      </c>
      <c r="AN20" s="49">
        <f t="shared" si="16"/>
        <v>0.16843750000000668</v>
      </c>
      <c r="AO20" s="49" t="s">
        <v>50</v>
      </c>
      <c r="AP20" s="50">
        <f t="shared" si="17"/>
        <v>0.19885416666667766</v>
      </c>
      <c r="AR20" s="20"/>
    </row>
    <row r="21" spans="2:44" ht="21" x14ac:dyDescent="0.25">
      <c r="B21" s="5" t="s">
        <v>20</v>
      </c>
      <c r="C21" s="5" t="s">
        <v>26</v>
      </c>
      <c r="D21" t="str">
        <f t="shared" si="0"/>
        <v>0107</v>
      </c>
      <c r="E21" s="5">
        <v>12</v>
      </c>
      <c r="F21" s="5" t="str">
        <f>VLOOKUP(E21,'Base Original'!$B$4:$C$16,2,0)</f>
        <v>CAB</v>
      </c>
      <c r="G21" s="5" t="str">
        <f t="shared" si="1"/>
        <v>C</v>
      </c>
      <c r="H21" s="5" t="str">
        <f t="shared" si="2"/>
        <v>A</v>
      </c>
      <c r="I21" s="5" t="str">
        <f t="shared" si="3"/>
        <v>B</v>
      </c>
      <c r="J21" s="5" t="str">
        <f t="shared" si="4"/>
        <v>CA</v>
      </c>
      <c r="K21" s="5" t="str">
        <f t="shared" si="5"/>
        <v>CB</v>
      </c>
      <c r="L21" s="5" t="str">
        <f t="shared" si="6"/>
        <v>AB</v>
      </c>
      <c r="M21">
        <v>23.41</v>
      </c>
      <c r="R21" s="5" t="s">
        <v>23</v>
      </c>
      <c r="S21">
        <f>SUMIFS($M$3:$M$290,$C$3:$C$290,R7)</f>
        <v>577.06000000000006</v>
      </c>
      <c r="T21">
        <f t="shared" si="18"/>
        <v>332998.24360000005</v>
      </c>
      <c r="U21">
        <v>24</v>
      </c>
      <c r="AI21" s="60" t="s">
        <v>73</v>
      </c>
      <c r="AJ21" s="49">
        <f t="shared" si="19"/>
        <v>-0.23322916666665705</v>
      </c>
      <c r="AK21" s="49" t="s">
        <v>74</v>
      </c>
      <c r="AL21" s="49">
        <f t="shared" si="15"/>
        <v>0.1763541666666768</v>
      </c>
      <c r="AM21" s="49"/>
      <c r="AN21" s="58"/>
      <c r="AO21" s="49" t="s">
        <v>43</v>
      </c>
      <c r="AP21" s="50">
        <f t="shared" si="17"/>
        <v>-0.4569791666666525</v>
      </c>
      <c r="AR21" s="20"/>
    </row>
    <row r="22" spans="2:44" ht="21" x14ac:dyDescent="0.25">
      <c r="B22" s="5" t="s">
        <v>20</v>
      </c>
      <c r="C22" s="5" t="s">
        <v>27</v>
      </c>
      <c r="D22" t="str">
        <f t="shared" si="0"/>
        <v>0108</v>
      </c>
      <c r="E22" s="5" t="s">
        <v>24</v>
      </c>
      <c r="F22" s="5" t="str">
        <f>VLOOKUP(E22,'Base Original'!$B$4:$C$16,2,0)</f>
        <v>BBA</v>
      </c>
      <c r="G22" s="5" t="str">
        <f t="shared" si="1"/>
        <v>B</v>
      </c>
      <c r="H22" s="5" t="str">
        <f t="shared" si="2"/>
        <v>B</v>
      </c>
      <c r="I22" s="5" t="str">
        <f t="shared" si="3"/>
        <v>A</v>
      </c>
      <c r="J22" s="5" t="str">
        <f t="shared" si="4"/>
        <v>BB</v>
      </c>
      <c r="K22" s="5" t="str">
        <f t="shared" si="5"/>
        <v>BA</v>
      </c>
      <c r="L22" s="5" t="str">
        <f t="shared" si="6"/>
        <v>BA</v>
      </c>
      <c r="M22">
        <v>24.55</v>
      </c>
      <c r="R22" s="5" t="s">
        <v>24</v>
      </c>
      <c r="S22">
        <f>SUMIFS($M$3:$M$290,$C$3:$C$290,R8)</f>
        <v>571.61999999999989</v>
      </c>
      <c r="T22">
        <f t="shared" si="18"/>
        <v>326749.4243999999</v>
      </c>
      <c r="U22">
        <v>24</v>
      </c>
      <c r="AI22" s="60" t="s">
        <v>74</v>
      </c>
      <c r="AJ22" s="49">
        <f t="shared" si="19"/>
        <v>3.3020833333342381E-2</v>
      </c>
      <c r="AK22" s="49" t="s">
        <v>73</v>
      </c>
      <c r="AL22" s="49">
        <f t="shared" si="15"/>
        <v>-0.37656249999999147</v>
      </c>
      <c r="AM22" s="58"/>
      <c r="AN22" s="58"/>
      <c r="AO22" s="49" t="s">
        <v>45</v>
      </c>
      <c r="AP22" s="50">
        <f t="shared" si="17"/>
        <v>0.64093750000001037</v>
      </c>
      <c r="AR22" s="20"/>
    </row>
    <row r="23" spans="2:44" ht="21" x14ac:dyDescent="0.25">
      <c r="B23" s="5" t="s">
        <v>20</v>
      </c>
      <c r="C23" s="5" t="s">
        <v>28</v>
      </c>
      <c r="D23" t="str">
        <f t="shared" si="0"/>
        <v>0109</v>
      </c>
      <c r="E23" s="5" t="s">
        <v>27</v>
      </c>
      <c r="F23" s="5" t="str">
        <f>VLOOKUP(E23,'Base Original'!$B$4:$C$16,2,0)</f>
        <v>BBB</v>
      </c>
      <c r="G23" s="5" t="str">
        <f t="shared" si="1"/>
        <v>B</v>
      </c>
      <c r="H23" s="5" t="str">
        <f t="shared" si="2"/>
        <v>B</v>
      </c>
      <c r="I23" s="5" t="str">
        <f t="shared" si="3"/>
        <v>B</v>
      </c>
      <c r="J23" s="5" t="str">
        <f t="shared" si="4"/>
        <v>BB</v>
      </c>
      <c r="K23" s="5" t="str">
        <f t="shared" si="5"/>
        <v>BB</v>
      </c>
      <c r="L23" s="5" t="str">
        <f t="shared" si="6"/>
        <v>BB</v>
      </c>
      <c r="M23">
        <v>24.33</v>
      </c>
      <c r="R23" s="5" t="s">
        <v>25</v>
      </c>
      <c r="S23">
        <f>SUMIFS($M$3:$M$290,$C$3:$C$290,R9)</f>
        <v>584.7299999999999</v>
      </c>
      <c r="T23">
        <f t="shared" si="18"/>
        <v>341909.17289999989</v>
      </c>
      <c r="U23">
        <v>24</v>
      </c>
      <c r="AI23" s="80"/>
      <c r="AJ23" s="58"/>
      <c r="AK23" s="58"/>
      <c r="AL23" s="58"/>
      <c r="AM23" s="81"/>
      <c r="AN23" s="81"/>
      <c r="AO23" s="49" t="s">
        <v>53</v>
      </c>
      <c r="AP23" s="50">
        <f t="shared" si="17"/>
        <v>-0.22531249999999403</v>
      </c>
      <c r="AR23" s="20"/>
    </row>
    <row r="24" spans="2:44" ht="21" x14ac:dyDescent="0.25">
      <c r="B24" s="5" t="s">
        <v>20</v>
      </c>
      <c r="C24" s="5">
        <v>10</v>
      </c>
      <c r="D24" t="str">
        <f t="shared" si="0"/>
        <v>0110</v>
      </c>
      <c r="E24" s="5" t="s">
        <v>21</v>
      </c>
      <c r="F24" s="5" t="str">
        <f>VLOOKUP(E24,'Base Original'!$B$4:$C$16,2,0)</f>
        <v>BAA</v>
      </c>
      <c r="G24" s="5" t="str">
        <f t="shared" si="1"/>
        <v>B</v>
      </c>
      <c r="H24" s="5" t="str">
        <f t="shared" si="2"/>
        <v>A</v>
      </c>
      <c r="I24" s="5" t="str">
        <f t="shared" si="3"/>
        <v>A</v>
      </c>
      <c r="J24" s="5" t="str">
        <f t="shared" si="4"/>
        <v>BA</v>
      </c>
      <c r="K24" s="5" t="str">
        <f t="shared" si="5"/>
        <v>BA</v>
      </c>
      <c r="L24" s="5" t="str">
        <f t="shared" si="6"/>
        <v>AA</v>
      </c>
      <c r="M24">
        <v>24.52</v>
      </c>
      <c r="R24" s="5" t="s">
        <v>26</v>
      </c>
      <c r="S24">
        <f>SUMIFS($M$3:$M$290,$C$3:$C$290,R10)</f>
        <v>586.35</v>
      </c>
      <c r="T24">
        <f t="shared" si="18"/>
        <v>343806.32250000001</v>
      </c>
      <c r="U24">
        <v>24</v>
      </c>
      <c r="AI24" s="80"/>
      <c r="AJ24" s="58"/>
      <c r="AK24" s="58"/>
      <c r="AL24" s="58"/>
      <c r="AM24" s="81"/>
      <c r="AN24" s="81"/>
      <c r="AO24" s="49" t="s">
        <v>46</v>
      </c>
      <c r="AP24" s="50">
        <f t="shared" si="17"/>
        <v>0.11427083333334309</v>
      </c>
      <c r="AR24" s="20"/>
    </row>
    <row r="25" spans="2:44" ht="21" x14ac:dyDescent="0.25">
      <c r="B25" s="5" t="s">
        <v>20</v>
      </c>
      <c r="C25" s="5">
        <v>11</v>
      </c>
      <c r="D25" t="str">
        <f t="shared" si="0"/>
        <v>0111</v>
      </c>
      <c r="E25" s="5" t="s">
        <v>20</v>
      </c>
      <c r="F25" s="5" t="str">
        <f>VLOOKUP(E25,'Base Original'!$B$4:$C$16,2,0)</f>
        <v>AAA</v>
      </c>
      <c r="G25" s="5" t="str">
        <f t="shared" si="1"/>
        <v>A</v>
      </c>
      <c r="H25" s="5" t="str">
        <f t="shared" si="2"/>
        <v>A</v>
      </c>
      <c r="I25" s="5" t="str">
        <f t="shared" si="3"/>
        <v>A</v>
      </c>
      <c r="J25" s="5" t="str">
        <f t="shared" si="4"/>
        <v>AA</v>
      </c>
      <c r="K25" s="5" t="str">
        <f t="shared" si="5"/>
        <v>AA</v>
      </c>
      <c r="L25" s="5" t="str">
        <f t="shared" si="6"/>
        <v>AA</v>
      </c>
      <c r="M25">
        <v>26.13</v>
      </c>
      <c r="R25" s="5" t="s">
        <v>27</v>
      </c>
      <c r="S25">
        <f>SUMIFS($M$3:$M$290,$C$3:$C$290,R11)</f>
        <v>576.56000000000006</v>
      </c>
      <c r="T25">
        <f t="shared" si="18"/>
        <v>332421.43360000005</v>
      </c>
      <c r="U25">
        <v>24</v>
      </c>
      <c r="AI25" s="80"/>
      <c r="AJ25" s="58"/>
      <c r="AK25" s="58"/>
      <c r="AL25" s="58"/>
      <c r="AM25" s="81"/>
      <c r="AN25" s="81"/>
      <c r="AO25" s="49" t="s">
        <v>49</v>
      </c>
      <c r="AP25" s="50">
        <f t="shared" si="17"/>
        <v>-0.58072916666665364</v>
      </c>
      <c r="AR25" s="20"/>
    </row>
    <row r="26" spans="2:44" ht="21" x14ac:dyDescent="0.25">
      <c r="B26" s="5" t="s">
        <v>20</v>
      </c>
      <c r="C26" s="5">
        <v>12</v>
      </c>
      <c r="D26" t="str">
        <f t="shared" si="0"/>
        <v>0112</v>
      </c>
      <c r="E26" s="5">
        <v>11</v>
      </c>
      <c r="F26" s="5" t="str">
        <f>VLOOKUP(E26,'Base Original'!$B$4:$C$16,2,0)</f>
        <v>BAB</v>
      </c>
      <c r="G26" s="5" t="str">
        <f t="shared" si="1"/>
        <v>B</v>
      </c>
      <c r="H26" s="5" t="str">
        <f t="shared" si="2"/>
        <v>A</v>
      </c>
      <c r="I26" s="5" t="str">
        <f t="shared" si="3"/>
        <v>B</v>
      </c>
      <c r="J26" s="5" t="str">
        <f t="shared" si="4"/>
        <v>BA</v>
      </c>
      <c r="K26" s="5" t="str">
        <f t="shared" si="5"/>
        <v>BB</v>
      </c>
      <c r="L26" s="5" t="str">
        <f t="shared" si="6"/>
        <v>AB</v>
      </c>
      <c r="M26">
        <v>25.29</v>
      </c>
      <c r="R26" s="5" t="s">
        <v>28</v>
      </c>
      <c r="S26">
        <f>SUMIFS($M$3:$M$290,$C$3:$C$290,R12)</f>
        <v>589.67000000000019</v>
      </c>
      <c r="T26">
        <f t="shared" si="18"/>
        <v>347710.7089000002</v>
      </c>
      <c r="U26">
        <v>24</v>
      </c>
      <c r="AI26" s="80"/>
      <c r="AJ26" s="58"/>
      <c r="AK26" s="58"/>
      <c r="AL26" s="58"/>
      <c r="AM26" s="81"/>
      <c r="AN26" s="81"/>
      <c r="AO26" s="49" t="s">
        <v>41</v>
      </c>
      <c r="AP26" s="50">
        <f t="shared" si="17"/>
        <v>0.23843750000000341</v>
      </c>
      <c r="AR26" s="20"/>
    </row>
    <row r="27" spans="2:44" ht="21" x14ac:dyDescent="0.25">
      <c r="B27" s="5" t="s">
        <v>21</v>
      </c>
      <c r="C27" s="5" t="s">
        <v>20</v>
      </c>
      <c r="D27" t="str">
        <f t="shared" si="0"/>
        <v>0201</v>
      </c>
      <c r="E27" s="5" t="s">
        <v>24</v>
      </c>
      <c r="F27" s="5" t="str">
        <f>VLOOKUP(E27,'Base Original'!$B$4:$C$16,2,0)</f>
        <v>BBA</v>
      </c>
      <c r="G27" s="5" t="str">
        <f t="shared" si="1"/>
        <v>B</v>
      </c>
      <c r="H27" s="5" t="str">
        <f t="shared" si="2"/>
        <v>B</v>
      </c>
      <c r="I27" s="5" t="str">
        <f t="shared" si="3"/>
        <v>A</v>
      </c>
      <c r="J27" s="5" t="str">
        <f t="shared" si="4"/>
        <v>BB</v>
      </c>
      <c r="K27" s="5" t="str">
        <f t="shared" si="5"/>
        <v>BA</v>
      </c>
      <c r="L27" s="5" t="str">
        <f t="shared" si="6"/>
        <v>BA</v>
      </c>
      <c r="M27">
        <v>25.43</v>
      </c>
      <c r="R27" s="5">
        <v>10</v>
      </c>
      <c r="S27">
        <f>SUMIFS($M$3:$M$290,$C$3:$C$290,R13)</f>
        <v>587.17000000000007</v>
      </c>
      <c r="T27">
        <f t="shared" si="18"/>
        <v>344768.60890000011</v>
      </c>
      <c r="U27">
        <v>24</v>
      </c>
      <c r="AI27" s="80"/>
      <c r="AJ27" s="58"/>
      <c r="AK27" s="58"/>
      <c r="AL27" s="58"/>
      <c r="AM27" s="81"/>
      <c r="AN27" s="81"/>
      <c r="AO27" s="49" t="s">
        <v>39</v>
      </c>
      <c r="AP27" s="50">
        <f t="shared" si="17"/>
        <v>0.72385416666668334</v>
      </c>
      <c r="AR27" s="20"/>
    </row>
    <row r="28" spans="2:44" ht="21.75" thickBot="1" x14ac:dyDescent="0.3">
      <c r="B28" s="5" t="s">
        <v>21</v>
      </c>
      <c r="C28" s="5" t="s">
        <v>21</v>
      </c>
      <c r="D28" t="str">
        <f t="shared" si="0"/>
        <v>0202</v>
      </c>
      <c r="E28" s="5">
        <v>11</v>
      </c>
      <c r="F28" s="5" t="str">
        <f>VLOOKUP(E28,'Base Original'!$B$4:$C$16,2,0)</f>
        <v>BAB</v>
      </c>
      <c r="G28" s="5" t="str">
        <f t="shared" si="1"/>
        <v>B</v>
      </c>
      <c r="H28" s="5" t="str">
        <f t="shared" si="2"/>
        <v>A</v>
      </c>
      <c r="I28" s="5" t="str">
        <f t="shared" si="3"/>
        <v>B</v>
      </c>
      <c r="J28" s="5" t="str">
        <f t="shared" si="4"/>
        <v>BA</v>
      </c>
      <c r="K28" s="5" t="str">
        <f t="shared" si="5"/>
        <v>BB</v>
      </c>
      <c r="L28" s="5" t="str">
        <f t="shared" si="6"/>
        <v>AB</v>
      </c>
      <c r="M28">
        <v>25.3</v>
      </c>
      <c r="R28" s="5">
        <v>11</v>
      </c>
      <c r="S28">
        <f>SUMIFS($M$3:$M$290,$C$3:$C$290,R14)</f>
        <v>588.30999999999995</v>
      </c>
      <c r="T28">
        <f t="shared" si="18"/>
        <v>346108.65609999996</v>
      </c>
      <c r="U28">
        <v>24</v>
      </c>
      <c r="AI28" s="82"/>
      <c r="AJ28" s="59"/>
      <c r="AK28" s="59"/>
      <c r="AL28" s="59"/>
      <c r="AM28" s="83"/>
      <c r="AN28" s="83"/>
      <c r="AO28" s="64" t="s">
        <v>52</v>
      </c>
      <c r="AP28" s="52">
        <f t="shared" si="17"/>
        <v>-0.1723958333333222</v>
      </c>
    </row>
    <row r="29" spans="2:44" x14ac:dyDescent="0.25">
      <c r="B29" s="5" t="s">
        <v>21</v>
      </c>
      <c r="C29" s="5" t="s">
        <v>22</v>
      </c>
      <c r="D29" t="str">
        <f t="shared" si="0"/>
        <v>0203</v>
      </c>
      <c r="E29" s="5" t="s">
        <v>22</v>
      </c>
      <c r="F29" s="5" t="str">
        <f>VLOOKUP(E29,'Base Original'!$B$4:$C$16,2,0)</f>
        <v>CAA</v>
      </c>
      <c r="G29" s="5" t="str">
        <f t="shared" si="1"/>
        <v>C</v>
      </c>
      <c r="H29" s="5" t="str">
        <f t="shared" si="2"/>
        <v>A</v>
      </c>
      <c r="I29" s="5" t="str">
        <f t="shared" si="3"/>
        <v>A</v>
      </c>
      <c r="J29" s="5" t="str">
        <f t="shared" si="4"/>
        <v>CA</v>
      </c>
      <c r="K29" s="5" t="str">
        <f t="shared" si="5"/>
        <v>CA</v>
      </c>
      <c r="L29" s="5" t="str">
        <f t="shared" si="6"/>
        <v>AA</v>
      </c>
      <c r="M29">
        <v>23.42</v>
      </c>
      <c r="R29" s="5">
        <v>12</v>
      </c>
      <c r="S29">
        <f>SUMIFS($M$3:$M$290,$C$3:$C$290,R15)</f>
        <v>597.96000000000015</v>
      </c>
      <c r="T29">
        <f t="shared" si="18"/>
        <v>357556.16160000017</v>
      </c>
      <c r="U29">
        <v>24</v>
      </c>
    </row>
    <row r="30" spans="2:44" x14ac:dyDescent="0.25">
      <c r="B30" s="5" t="s">
        <v>21</v>
      </c>
      <c r="C30" s="5" t="s">
        <v>23</v>
      </c>
      <c r="D30" t="str">
        <f t="shared" si="0"/>
        <v>0204</v>
      </c>
      <c r="E30" s="5" t="s">
        <v>23</v>
      </c>
      <c r="F30" s="5" t="str">
        <f>VLOOKUP(E30,'Base Original'!$B$4:$C$16,2,0)</f>
        <v>ABA</v>
      </c>
      <c r="G30" s="5" t="str">
        <f t="shared" si="1"/>
        <v>A</v>
      </c>
      <c r="H30" s="5" t="str">
        <f t="shared" si="2"/>
        <v>B</v>
      </c>
      <c r="I30" s="5" t="str">
        <f t="shared" si="3"/>
        <v>A</v>
      </c>
      <c r="J30" s="5" t="str">
        <f t="shared" si="4"/>
        <v>AB</v>
      </c>
      <c r="K30" s="5" t="str">
        <f t="shared" si="5"/>
        <v>AA</v>
      </c>
      <c r="L30" s="5" t="str">
        <f t="shared" si="6"/>
        <v>BA</v>
      </c>
      <c r="M30">
        <v>25.49</v>
      </c>
      <c r="R30" s="3"/>
      <c r="S30" s="3"/>
      <c r="T30" s="3"/>
      <c r="U30" s="3"/>
      <c r="AI30"/>
    </row>
    <row r="31" spans="2:44" x14ac:dyDescent="0.25">
      <c r="B31" s="5" t="s">
        <v>21</v>
      </c>
      <c r="C31" s="5" t="s">
        <v>24</v>
      </c>
      <c r="D31" t="str">
        <f t="shared" si="0"/>
        <v>0205</v>
      </c>
      <c r="E31" s="5">
        <v>10</v>
      </c>
      <c r="F31" s="5" t="str">
        <f>VLOOKUP(E31,'Base Original'!$B$4:$C$16,2,0)</f>
        <v>AAB</v>
      </c>
      <c r="G31" s="5" t="str">
        <f t="shared" si="1"/>
        <v>A</v>
      </c>
      <c r="H31" s="5" t="str">
        <f t="shared" si="2"/>
        <v>A</v>
      </c>
      <c r="I31" s="5" t="str">
        <f t="shared" si="3"/>
        <v>B</v>
      </c>
      <c r="J31" s="5" t="str">
        <f t="shared" si="4"/>
        <v>AA</v>
      </c>
      <c r="K31" s="5" t="str">
        <f t="shared" si="5"/>
        <v>AB</v>
      </c>
      <c r="L31" s="5" t="str">
        <f t="shared" si="6"/>
        <v>AB</v>
      </c>
      <c r="M31">
        <v>23.56</v>
      </c>
      <c r="R31" t="s">
        <v>1</v>
      </c>
      <c r="S31" t="s">
        <v>10</v>
      </c>
      <c r="T31" t="s">
        <v>11</v>
      </c>
      <c r="U31" t="s">
        <v>12</v>
      </c>
      <c r="AI31"/>
    </row>
    <row r="32" spans="2:44" x14ac:dyDescent="0.25">
      <c r="B32" s="5" t="s">
        <v>21</v>
      </c>
      <c r="C32" s="5" t="s">
        <v>25</v>
      </c>
      <c r="D32" t="str">
        <f t="shared" si="0"/>
        <v>0206</v>
      </c>
      <c r="E32" s="5" t="s">
        <v>25</v>
      </c>
      <c r="F32" s="5" t="str">
        <f>VLOOKUP(E32,'Base Original'!$B$4:$C$16,2,0)</f>
        <v>CBA</v>
      </c>
      <c r="G32" s="5" t="str">
        <f t="shared" si="1"/>
        <v>C</v>
      </c>
      <c r="H32" s="5" t="str">
        <f t="shared" si="2"/>
        <v>B</v>
      </c>
      <c r="I32" s="5" t="str">
        <f t="shared" si="3"/>
        <v>A</v>
      </c>
      <c r="J32" s="5" t="str">
        <f t="shared" si="4"/>
        <v>CB</v>
      </c>
      <c r="K32" s="5" t="str">
        <f t="shared" si="5"/>
        <v>CA</v>
      </c>
      <c r="L32" s="5" t="str">
        <f t="shared" si="6"/>
        <v>BA</v>
      </c>
      <c r="M32">
        <v>24.07</v>
      </c>
      <c r="R32" s="5" t="s">
        <v>20</v>
      </c>
      <c r="S32">
        <f>SUMIFS($M$3:$M$290,$E$3:$E$290,R18)</f>
        <v>599.38000000000011</v>
      </c>
      <c r="T32">
        <f>S32^2</f>
        <v>359256.38440000016</v>
      </c>
      <c r="U32">
        <v>24</v>
      </c>
      <c r="AI32"/>
      <c r="AJ32" s="4"/>
      <c r="AK32" s="88"/>
    </row>
    <row r="33" spans="2:42" x14ac:dyDescent="0.25">
      <c r="B33" s="5" t="s">
        <v>21</v>
      </c>
      <c r="C33" s="5" t="s">
        <v>26</v>
      </c>
      <c r="D33" t="str">
        <f t="shared" si="0"/>
        <v>0207</v>
      </c>
      <c r="E33" s="5" t="s">
        <v>20</v>
      </c>
      <c r="F33" s="5" t="str">
        <f>VLOOKUP(E33,'Base Original'!$B$4:$C$16,2,0)</f>
        <v>AAA</v>
      </c>
      <c r="G33" s="5" t="str">
        <f t="shared" si="1"/>
        <v>A</v>
      </c>
      <c r="H33" s="5" t="str">
        <f t="shared" si="2"/>
        <v>A</v>
      </c>
      <c r="I33" s="5" t="str">
        <f t="shared" si="3"/>
        <v>A</v>
      </c>
      <c r="J33" s="5" t="str">
        <f t="shared" si="4"/>
        <v>AA</v>
      </c>
      <c r="K33" s="5" t="str">
        <f t="shared" si="5"/>
        <v>AA</v>
      </c>
      <c r="L33" s="5" t="str">
        <f t="shared" si="6"/>
        <v>AA</v>
      </c>
      <c r="M33">
        <v>25.63</v>
      </c>
      <c r="R33" s="5" t="s">
        <v>21</v>
      </c>
      <c r="S33">
        <f t="shared" ref="S33:S43" si="20">SUMIFS($M$3:$M$290,$E$3:$E$290,R19)</f>
        <v>587.72999999999979</v>
      </c>
      <c r="T33">
        <f t="shared" ref="T33:T43" si="21">S33^2</f>
        <v>345426.55289999978</v>
      </c>
      <c r="U33">
        <v>24</v>
      </c>
      <c r="AI33"/>
      <c r="AJ33" s="4"/>
      <c r="AM33" s="23"/>
      <c r="AN33" s="23"/>
      <c r="AO33" s="20"/>
      <c r="AP33" s="20"/>
    </row>
    <row r="34" spans="2:42" x14ac:dyDescent="0.25">
      <c r="B34" s="5" t="s">
        <v>21</v>
      </c>
      <c r="C34" s="5" t="s">
        <v>27</v>
      </c>
      <c r="D34" t="str">
        <f t="shared" si="0"/>
        <v>0208</v>
      </c>
      <c r="E34" s="5" t="s">
        <v>26</v>
      </c>
      <c r="F34" s="5" t="str">
        <f>VLOOKUP(E34,'Base Original'!$B$4:$C$16,2,0)</f>
        <v>ABB</v>
      </c>
      <c r="G34" s="5" t="str">
        <f t="shared" si="1"/>
        <v>A</v>
      </c>
      <c r="H34" s="5" t="str">
        <f t="shared" si="2"/>
        <v>B</v>
      </c>
      <c r="I34" s="5" t="str">
        <f t="shared" si="3"/>
        <v>B</v>
      </c>
      <c r="J34" s="5" t="str">
        <f t="shared" si="4"/>
        <v>AB</v>
      </c>
      <c r="K34" s="5" t="str">
        <f t="shared" si="5"/>
        <v>AB</v>
      </c>
      <c r="L34" s="5" t="str">
        <f t="shared" si="6"/>
        <v>BB</v>
      </c>
      <c r="M34">
        <v>24.36</v>
      </c>
      <c r="R34" s="5" t="s">
        <v>22</v>
      </c>
      <c r="S34">
        <f t="shared" si="20"/>
        <v>571.04000000000008</v>
      </c>
      <c r="T34">
        <f t="shared" si="21"/>
        <v>326086.68160000007</v>
      </c>
      <c r="U34">
        <v>24</v>
      </c>
      <c r="AI34"/>
      <c r="AM34" s="23"/>
      <c r="AN34" s="23"/>
      <c r="AO34" s="20"/>
      <c r="AP34" s="20"/>
    </row>
    <row r="35" spans="2:42" x14ac:dyDescent="0.25">
      <c r="B35" s="5" t="s">
        <v>21</v>
      </c>
      <c r="C35" s="5" t="s">
        <v>28</v>
      </c>
      <c r="D35" t="str">
        <f t="shared" si="0"/>
        <v>0209</v>
      </c>
      <c r="E35" s="5">
        <v>12</v>
      </c>
      <c r="F35" s="5" t="str">
        <f>VLOOKUP(E35,'Base Original'!$B$4:$C$16,2,0)</f>
        <v>CAB</v>
      </c>
      <c r="G35" s="5" t="str">
        <f t="shared" si="1"/>
        <v>C</v>
      </c>
      <c r="H35" s="5" t="str">
        <f t="shared" si="2"/>
        <v>A</v>
      </c>
      <c r="I35" s="5" t="str">
        <f t="shared" si="3"/>
        <v>B</v>
      </c>
      <c r="J35" s="5" t="str">
        <f t="shared" si="4"/>
        <v>CA</v>
      </c>
      <c r="K35" s="5" t="str">
        <f t="shared" si="5"/>
        <v>CB</v>
      </c>
      <c r="L35" s="5" t="str">
        <f t="shared" si="6"/>
        <v>AB</v>
      </c>
      <c r="M35">
        <v>24.55</v>
      </c>
      <c r="R35" s="5" t="s">
        <v>23</v>
      </c>
      <c r="S35">
        <f t="shared" si="20"/>
        <v>597.39</v>
      </c>
      <c r="T35">
        <f t="shared" si="21"/>
        <v>356874.81209999998</v>
      </c>
      <c r="U35">
        <v>24</v>
      </c>
      <c r="AI35"/>
      <c r="AM35" s="23"/>
      <c r="AN35" s="23"/>
      <c r="AO35" s="20"/>
      <c r="AP35" s="20"/>
    </row>
    <row r="36" spans="2:42" x14ac:dyDescent="0.25">
      <c r="B36" s="5" t="s">
        <v>21</v>
      </c>
      <c r="C36" s="5">
        <v>10</v>
      </c>
      <c r="D36" t="str">
        <f t="shared" si="0"/>
        <v>0210</v>
      </c>
      <c r="E36" s="5" t="s">
        <v>27</v>
      </c>
      <c r="F36" s="5" t="str">
        <f>VLOOKUP(E36,'Base Original'!$B$4:$C$16,2,0)</f>
        <v>BBB</v>
      </c>
      <c r="G36" s="5" t="str">
        <f t="shared" si="1"/>
        <v>B</v>
      </c>
      <c r="H36" s="5" t="str">
        <f t="shared" si="2"/>
        <v>B</v>
      </c>
      <c r="I36" s="5" t="str">
        <f t="shared" si="3"/>
        <v>B</v>
      </c>
      <c r="J36" s="5" t="str">
        <f t="shared" si="4"/>
        <v>BB</v>
      </c>
      <c r="K36" s="5" t="str">
        <f t="shared" si="5"/>
        <v>BB</v>
      </c>
      <c r="L36" s="5" t="str">
        <f t="shared" si="6"/>
        <v>BB</v>
      </c>
      <c r="M36">
        <v>24.04</v>
      </c>
      <c r="R36" s="5" t="s">
        <v>24</v>
      </c>
      <c r="S36">
        <f t="shared" si="20"/>
        <v>584.75</v>
      </c>
      <c r="T36">
        <f t="shared" si="21"/>
        <v>341932.5625</v>
      </c>
      <c r="U36">
        <v>24</v>
      </c>
      <c r="AI36"/>
      <c r="AM36" s="23"/>
      <c r="AN36" s="23"/>
      <c r="AO36" s="20"/>
      <c r="AP36" s="20"/>
    </row>
    <row r="37" spans="2:42" x14ac:dyDescent="0.25">
      <c r="B37" s="5" t="s">
        <v>21</v>
      </c>
      <c r="C37" s="5">
        <v>11</v>
      </c>
      <c r="D37" t="str">
        <f t="shared" si="0"/>
        <v>0211</v>
      </c>
      <c r="E37" s="5" t="s">
        <v>28</v>
      </c>
      <c r="F37" s="5" t="str">
        <f>VLOOKUP(E37,'Base Original'!$B$4:$C$16,2,0)</f>
        <v>CBB</v>
      </c>
      <c r="G37" s="5" t="str">
        <f t="shared" si="1"/>
        <v>C</v>
      </c>
      <c r="H37" s="5" t="str">
        <f t="shared" si="2"/>
        <v>B</v>
      </c>
      <c r="I37" s="5" t="str">
        <f t="shared" si="3"/>
        <v>B</v>
      </c>
      <c r="J37" s="5" t="str">
        <f t="shared" si="4"/>
        <v>CB</v>
      </c>
      <c r="K37" s="5" t="str">
        <f t="shared" si="5"/>
        <v>CB</v>
      </c>
      <c r="L37" s="5" t="str">
        <f t="shared" si="6"/>
        <v>BB</v>
      </c>
      <c r="M37">
        <v>24.08</v>
      </c>
      <c r="R37" s="5" t="s">
        <v>25</v>
      </c>
      <c r="S37">
        <f t="shared" si="20"/>
        <v>586.83000000000015</v>
      </c>
      <c r="T37">
        <f t="shared" si="21"/>
        <v>344369.44890000019</v>
      </c>
      <c r="U37">
        <v>24</v>
      </c>
      <c r="AI37"/>
      <c r="AM37" s="23"/>
      <c r="AN37" s="23"/>
      <c r="AO37" s="20"/>
      <c r="AP37" s="20"/>
    </row>
    <row r="38" spans="2:42" x14ac:dyDescent="0.25">
      <c r="B38" s="5" t="s">
        <v>21</v>
      </c>
      <c r="C38" s="5">
        <v>12</v>
      </c>
      <c r="D38" t="str">
        <f t="shared" si="0"/>
        <v>0212</v>
      </c>
      <c r="E38" s="5" t="s">
        <v>21</v>
      </c>
      <c r="F38" s="5" t="str">
        <f>VLOOKUP(E38,'Base Original'!$B$4:$C$16,2,0)</f>
        <v>BAA</v>
      </c>
      <c r="G38" s="5" t="str">
        <f t="shared" si="1"/>
        <v>B</v>
      </c>
      <c r="H38" s="5" t="str">
        <f t="shared" si="2"/>
        <v>A</v>
      </c>
      <c r="I38" s="5" t="str">
        <f t="shared" si="3"/>
        <v>A</v>
      </c>
      <c r="J38" s="5" t="str">
        <f t="shared" si="4"/>
        <v>BA</v>
      </c>
      <c r="K38" s="5" t="str">
        <f t="shared" si="5"/>
        <v>BA</v>
      </c>
      <c r="L38" s="5" t="str">
        <f t="shared" si="6"/>
        <v>AA</v>
      </c>
      <c r="M38">
        <v>24.18</v>
      </c>
      <c r="R38" s="5" t="s">
        <v>26</v>
      </c>
      <c r="S38">
        <f t="shared" si="20"/>
        <v>581.03000000000009</v>
      </c>
      <c r="T38">
        <f t="shared" si="21"/>
        <v>337595.86090000009</v>
      </c>
      <c r="U38">
        <v>24</v>
      </c>
      <c r="AI38"/>
      <c r="AM38" s="23"/>
      <c r="AN38" s="23"/>
      <c r="AO38" s="20"/>
      <c r="AP38" s="20"/>
    </row>
    <row r="39" spans="2:42" x14ac:dyDescent="0.25">
      <c r="B39" s="5" t="s">
        <v>21</v>
      </c>
      <c r="C39" s="5" t="s">
        <v>20</v>
      </c>
      <c r="D39" t="str">
        <f t="shared" si="0"/>
        <v>0201</v>
      </c>
      <c r="E39" s="5" t="s">
        <v>24</v>
      </c>
      <c r="F39" s="5" t="str">
        <f>VLOOKUP(E39,'Base Original'!$B$4:$C$16,2,0)</f>
        <v>BBA</v>
      </c>
      <c r="G39" s="5" t="str">
        <f t="shared" si="1"/>
        <v>B</v>
      </c>
      <c r="H39" s="5" t="str">
        <f t="shared" si="2"/>
        <v>B</v>
      </c>
      <c r="I39" s="5" t="str">
        <f t="shared" si="3"/>
        <v>A</v>
      </c>
      <c r="J39" s="5" t="str">
        <f t="shared" si="4"/>
        <v>BB</v>
      </c>
      <c r="K39" s="5" t="str">
        <f t="shared" si="5"/>
        <v>BA</v>
      </c>
      <c r="L39" s="5" t="str">
        <f t="shared" si="6"/>
        <v>BA</v>
      </c>
      <c r="M39">
        <v>23.46</v>
      </c>
      <c r="R39" s="5" t="s">
        <v>27</v>
      </c>
      <c r="S39">
        <f t="shared" si="20"/>
        <v>568.07000000000005</v>
      </c>
      <c r="T39">
        <f t="shared" si="21"/>
        <v>322703.52490000008</v>
      </c>
      <c r="U39">
        <v>24</v>
      </c>
      <c r="AI39"/>
      <c r="AM39" s="23"/>
      <c r="AN39" s="23"/>
      <c r="AO39" s="20"/>
      <c r="AP39" s="20"/>
    </row>
    <row r="40" spans="2:42" x14ac:dyDescent="0.25">
      <c r="B40" s="5" t="s">
        <v>21</v>
      </c>
      <c r="C40" s="5" t="s">
        <v>21</v>
      </c>
      <c r="D40" t="str">
        <f t="shared" si="0"/>
        <v>0202</v>
      </c>
      <c r="E40" s="5">
        <v>11</v>
      </c>
      <c r="F40" s="5" t="str">
        <f>VLOOKUP(E40,'Base Original'!$B$4:$C$16,2,0)</f>
        <v>BAB</v>
      </c>
      <c r="G40" s="5" t="str">
        <f t="shared" si="1"/>
        <v>B</v>
      </c>
      <c r="H40" s="5" t="str">
        <f t="shared" si="2"/>
        <v>A</v>
      </c>
      <c r="I40" s="5" t="str">
        <f t="shared" si="3"/>
        <v>B</v>
      </c>
      <c r="J40" s="5" t="str">
        <f t="shared" si="4"/>
        <v>BA</v>
      </c>
      <c r="K40" s="5" t="str">
        <f t="shared" si="5"/>
        <v>BB</v>
      </c>
      <c r="L40" s="5" t="str">
        <f t="shared" si="6"/>
        <v>AB</v>
      </c>
      <c r="M40">
        <v>23.7</v>
      </c>
      <c r="R40" s="5" t="s">
        <v>28</v>
      </c>
      <c r="S40">
        <f t="shared" si="20"/>
        <v>586.78</v>
      </c>
      <c r="T40">
        <f t="shared" si="21"/>
        <v>344310.76839999994</v>
      </c>
      <c r="U40">
        <v>24</v>
      </c>
      <c r="AI40"/>
      <c r="AM40" s="23"/>
      <c r="AN40" s="23"/>
      <c r="AO40" s="20"/>
      <c r="AP40" s="20"/>
    </row>
    <row r="41" spans="2:42" x14ac:dyDescent="0.25">
      <c r="B41" s="5" t="s">
        <v>21</v>
      </c>
      <c r="C41" s="5" t="s">
        <v>22</v>
      </c>
      <c r="D41" t="str">
        <f t="shared" si="0"/>
        <v>0203</v>
      </c>
      <c r="E41" s="5" t="s">
        <v>22</v>
      </c>
      <c r="F41" s="5" t="str">
        <f>VLOOKUP(E41,'Base Original'!$B$4:$C$16,2,0)</f>
        <v>CAA</v>
      </c>
      <c r="G41" s="5" t="str">
        <f t="shared" si="1"/>
        <v>C</v>
      </c>
      <c r="H41" s="5" t="str">
        <f t="shared" si="2"/>
        <v>A</v>
      </c>
      <c r="I41" s="5" t="str">
        <f t="shared" si="3"/>
        <v>A</v>
      </c>
      <c r="J41" s="5" t="str">
        <f t="shared" si="4"/>
        <v>CA</v>
      </c>
      <c r="K41" s="5" t="str">
        <f t="shared" si="5"/>
        <v>CA</v>
      </c>
      <c r="L41" s="5" t="str">
        <f t="shared" si="6"/>
        <v>AA</v>
      </c>
      <c r="M41">
        <v>24.14</v>
      </c>
      <c r="R41" s="5">
        <v>10</v>
      </c>
      <c r="S41">
        <f t="shared" si="20"/>
        <v>566.62000000000012</v>
      </c>
      <c r="T41">
        <f t="shared" si="21"/>
        <v>321058.22440000012</v>
      </c>
      <c r="U41">
        <v>24</v>
      </c>
      <c r="AI41"/>
      <c r="AM41" s="23"/>
      <c r="AN41" s="23"/>
      <c r="AO41" s="20"/>
      <c r="AP41" s="20"/>
    </row>
    <row r="42" spans="2:42" x14ac:dyDescent="0.25">
      <c r="B42" s="5" t="s">
        <v>21</v>
      </c>
      <c r="C42" s="5" t="s">
        <v>23</v>
      </c>
      <c r="D42" t="str">
        <f t="shared" si="0"/>
        <v>0204</v>
      </c>
      <c r="E42" s="5" t="s">
        <v>23</v>
      </c>
      <c r="F42" s="5" t="str">
        <f>VLOOKUP(E42,'Base Original'!$B$4:$C$16,2,0)</f>
        <v>ABA</v>
      </c>
      <c r="G42" s="5" t="str">
        <f t="shared" si="1"/>
        <v>A</v>
      </c>
      <c r="H42" s="5" t="str">
        <f t="shared" si="2"/>
        <v>B</v>
      </c>
      <c r="I42" s="5" t="str">
        <f t="shared" si="3"/>
        <v>A</v>
      </c>
      <c r="J42" s="5" t="str">
        <f t="shared" si="4"/>
        <v>AB</v>
      </c>
      <c r="K42" s="5" t="str">
        <f t="shared" si="5"/>
        <v>AA</v>
      </c>
      <c r="L42" s="5" t="str">
        <f t="shared" si="6"/>
        <v>BA</v>
      </c>
      <c r="M42">
        <v>24.18</v>
      </c>
      <c r="R42" s="5">
        <v>11</v>
      </c>
      <c r="S42">
        <f t="shared" si="20"/>
        <v>577.87</v>
      </c>
      <c r="T42">
        <f t="shared" si="21"/>
        <v>333933.73690000002</v>
      </c>
      <c r="U42">
        <v>24</v>
      </c>
      <c r="AI42"/>
      <c r="AM42" s="23"/>
      <c r="AN42" s="23"/>
      <c r="AO42" s="20"/>
      <c r="AP42" s="20"/>
    </row>
    <row r="43" spans="2:42" x14ac:dyDescent="0.25">
      <c r="B43" s="5" t="s">
        <v>21</v>
      </c>
      <c r="C43" s="5" t="s">
        <v>24</v>
      </c>
      <c r="D43" t="str">
        <f t="shared" si="0"/>
        <v>0205</v>
      </c>
      <c r="E43" s="5">
        <v>10</v>
      </c>
      <c r="F43" s="5" t="str">
        <f>VLOOKUP(E43,'Base Original'!$B$4:$C$16,2,0)</f>
        <v>AAB</v>
      </c>
      <c r="G43" s="5" t="str">
        <f t="shared" si="1"/>
        <v>A</v>
      </c>
      <c r="H43" s="5" t="str">
        <f t="shared" si="2"/>
        <v>A</v>
      </c>
      <c r="I43" s="5" t="str">
        <f t="shared" si="3"/>
        <v>B</v>
      </c>
      <c r="J43" s="5" t="str">
        <f t="shared" si="4"/>
        <v>AA</v>
      </c>
      <c r="K43" s="5" t="str">
        <f t="shared" si="5"/>
        <v>AB</v>
      </c>
      <c r="L43" s="5" t="str">
        <f t="shared" si="6"/>
        <v>AB</v>
      </c>
      <c r="M43">
        <v>24.04</v>
      </c>
      <c r="R43" s="5">
        <v>12</v>
      </c>
      <c r="S43">
        <f t="shared" si="20"/>
        <v>576.59999999999991</v>
      </c>
      <c r="T43">
        <f t="shared" si="21"/>
        <v>332467.55999999988</v>
      </c>
      <c r="U43">
        <v>24</v>
      </c>
      <c r="AI43"/>
      <c r="AM43" s="23"/>
      <c r="AN43" s="23"/>
      <c r="AO43" s="20"/>
      <c r="AP43" s="20"/>
    </row>
    <row r="44" spans="2:42" x14ac:dyDescent="0.25">
      <c r="B44" s="5" t="s">
        <v>21</v>
      </c>
      <c r="C44" s="5" t="s">
        <v>25</v>
      </c>
      <c r="D44" t="str">
        <f t="shared" si="0"/>
        <v>0206</v>
      </c>
      <c r="E44" s="5" t="s">
        <v>25</v>
      </c>
      <c r="F44" s="5" t="str">
        <f>VLOOKUP(E44,'Base Original'!$B$4:$C$16,2,0)</f>
        <v>CBA</v>
      </c>
      <c r="G44" s="5" t="str">
        <f t="shared" si="1"/>
        <v>C</v>
      </c>
      <c r="H44" s="5" t="str">
        <f t="shared" si="2"/>
        <v>B</v>
      </c>
      <c r="I44" s="5" t="str">
        <f t="shared" si="3"/>
        <v>A</v>
      </c>
      <c r="J44" s="5" t="str">
        <f t="shared" si="4"/>
        <v>CB</v>
      </c>
      <c r="K44" s="5" t="str">
        <f t="shared" si="5"/>
        <v>CA</v>
      </c>
      <c r="L44" s="5" t="str">
        <f t="shared" si="6"/>
        <v>BA</v>
      </c>
      <c r="M44">
        <v>24.84</v>
      </c>
      <c r="R44" s="3"/>
      <c r="S44" s="3"/>
      <c r="T44" s="3"/>
      <c r="U44" s="3"/>
      <c r="AI44"/>
      <c r="AM44" s="23"/>
      <c r="AN44" s="23"/>
      <c r="AO44" s="20"/>
      <c r="AP44" s="20"/>
    </row>
    <row r="45" spans="2:42" x14ac:dyDescent="0.25">
      <c r="B45" s="5" t="s">
        <v>21</v>
      </c>
      <c r="C45" s="5" t="s">
        <v>26</v>
      </c>
      <c r="D45" t="str">
        <f t="shared" si="0"/>
        <v>0207</v>
      </c>
      <c r="E45" s="5" t="s">
        <v>20</v>
      </c>
      <c r="F45" s="5" t="str">
        <f>VLOOKUP(E45,'Base Original'!$B$4:$C$16,2,0)</f>
        <v>AAA</v>
      </c>
      <c r="G45" s="5" t="str">
        <f t="shared" si="1"/>
        <v>A</v>
      </c>
      <c r="H45" s="5" t="str">
        <f t="shared" si="2"/>
        <v>A</v>
      </c>
      <c r="I45" s="5" t="str">
        <f t="shared" si="3"/>
        <v>A</v>
      </c>
      <c r="J45" s="5" t="str">
        <f t="shared" si="4"/>
        <v>AA</v>
      </c>
      <c r="K45" s="5" t="str">
        <f t="shared" si="5"/>
        <v>AA</v>
      </c>
      <c r="L45" s="5" t="str">
        <f t="shared" si="6"/>
        <v>AA</v>
      </c>
      <c r="M45">
        <v>26.07</v>
      </c>
      <c r="R45" t="s">
        <v>59</v>
      </c>
      <c r="S45" t="s">
        <v>10</v>
      </c>
      <c r="T45" t="s">
        <v>11</v>
      </c>
      <c r="U45" t="s">
        <v>12</v>
      </c>
      <c r="AI45"/>
      <c r="AM45" s="23"/>
      <c r="AN45" s="23"/>
      <c r="AO45" s="20"/>
      <c r="AP45" s="20"/>
    </row>
    <row r="46" spans="2:42" x14ac:dyDescent="0.25">
      <c r="B46" s="5" t="s">
        <v>21</v>
      </c>
      <c r="C46" s="5" t="s">
        <v>27</v>
      </c>
      <c r="D46" t="str">
        <f t="shared" si="0"/>
        <v>0208</v>
      </c>
      <c r="E46" s="5" t="s">
        <v>26</v>
      </c>
      <c r="F46" s="5" t="str">
        <f>VLOOKUP(E46,'Base Original'!$B$4:$C$16,2,0)</f>
        <v>ABB</v>
      </c>
      <c r="G46" s="5" t="str">
        <f t="shared" si="1"/>
        <v>A</v>
      </c>
      <c r="H46" s="5" t="str">
        <f t="shared" si="2"/>
        <v>B</v>
      </c>
      <c r="I46" s="5" t="str">
        <f t="shared" si="3"/>
        <v>B</v>
      </c>
      <c r="J46" s="5" t="str">
        <f t="shared" si="4"/>
        <v>AB</v>
      </c>
      <c r="K46" s="5" t="str">
        <f t="shared" si="5"/>
        <v>AB</v>
      </c>
      <c r="L46" s="5" t="str">
        <f t="shared" si="6"/>
        <v>BB</v>
      </c>
      <c r="M46">
        <v>24.68</v>
      </c>
      <c r="R46" t="s">
        <v>62</v>
      </c>
      <c r="S46">
        <f t="shared" ref="S46:S47" si="22">SUMIFS($M$3:$M$290,$G$3:$G$290,R46)</f>
        <v>2344.4199999999992</v>
      </c>
      <c r="T46">
        <f>S46^2</f>
        <v>5496305.1363999965</v>
      </c>
      <c r="U46">
        <f>COUNTIF($G$3:$G$290,R46)</f>
        <v>96</v>
      </c>
      <c r="AI46"/>
      <c r="AM46" s="23"/>
      <c r="AN46" s="23"/>
      <c r="AO46" s="20"/>
      <c r="AP46" s="20"/>
    </row>
    <row r="47" spans="2:42" x14ac:dyDescent="0.25">
      <c r="B47" s="5" t="s">
        <v>21</v>
      </c>
      <c r="C47" s="5" t="s">
        <v>28</v>
      </c>
      <c r="D47" t="str">
        <f t="shared" si="0"/>
        <v>0209</v>
      </c>
      <c r="E47" s="5">
        <v>12</v>
      </c>
      <c r="F47" s="5" t="str">
        <f>VLOOKUP(E47,'Base Original'!$B$4:$C$16,2,0)</f>
        <v>CAB</v>
      </c>
      <c r="G47" s="5" t="str">
        <f t="shared" si="1"/>
        <v>C</v>
      </c>
      <c r="H47" s="5" t="str">
        <f t="shared" si="2"/>
        <v>A</v>
      </c>
      <c r="I47" s="5" t="str">
        <f t="shared" si="3"/>
        <v>B</v>
      </c>
      <c r="J47" s="5" t="str">
        <f t="shared" si="4"/>
        <v>CA</v>
      </c>
      <c r="K47" s="5" t="str">
        <f t="shared" si="5"/>
        <v>CB</v>
      </c>
      <c r="L47" s="5" t="str">
        <f t="shared" si="6"/>
        <v>AB</v>
      </c>
      <c r="M47">
        <v>25.64</v>
      </c>
      <c r="R47" t="s">
        <v>64</v>
      </c>
      <c r="S47">
        <f t="shared" si="22"/>
        <v>2318.42</v>
      </c>
      <c r="T47">
        <f t="shared" ref="T47:T48" si="23">S47^2</f>
        <v>5375071.2964000003</v>
      </c>
      <c r="U47">
        <f t="shared" ref="U47:U48" si="24">COUNTIF($G$3:$G$290,R47)</f>
        <v>96</v>
      </c>
      <c r="AI47"/>
      <c r="AM47" s="23"/>
      <c r="AN47" s="23"/>
      <c r="AO47" s="20"/>
      <c r="AP47" s="20"/>
    </row>
    <row r="48" spans="2:42" x14ac:dyDescent="0.25">
      <c r="B48" s="5" t="s">
        <v>21</v>
      </c>
      <c r="C48" s="5">
        <v>10</v>
      </c>
      <c r="D48" t="str">
        <f t="shared" si="0"/>
        <v>0210</v>
      </c>
      <c r="E48" s="5" t="s">
        <v>27</v>
      </c>
      <c r="F48" s="5" t="str">
        <f>VLOOKUP(E48,'Base Original'!$B$4:$C$16,2,0)</f>
        <v>BBB</v>
      </c>
      <c r="G48" s="5" t="str">
        <f t="shared" si="1"/>
        <v>B</v>
      </c>
      <c r="H48" s="5" t="str">
        <f t="shared" si="2"/>
        <v>B</v>
      </c>
      <c r="I48" s="5" t="str">
        <f t="shared" si="3"/>
        <v>B</v>
      </c>
      <c r="J48" s="5" t="str">
        <f t="shared" si="4"/>
        <v>BB</v>
      </c>
      <c r="K48" s="5" t="str">
        <f t="shared" si="5"/>
        <v>BB</v>
      </c>
      <c r="L48" s="5" t="str">
        <f t="shared" si="6"/>
        <v>BB</v>
      </c>
      <c r="M48">
        <v>25.57</v>
      </c>
      <c r="R48" t="s">
        <v>63</v>
      </c>
      <c r="S48">
        <f>SUMIFS($M$3:$M$290,$G$3:$G$290,R48)</f>
        <v>2321.25</v>
      </c>
      <c r="T48">
        <f t="shared" si="23"/>
        <v>5388201.5625</v>
      </c>
      <c r="U48">
        <f t="shared" si="24"/>
        <v>96</v>
      </c>
      <c r="AI48"/>
      <c r="AM48" s="23"/>
      <c r="AN48" s="23"/>
      <c r="AO48" s="20"/>
      <c r="AP48" s="20"/>
    </row>
    <row r="49" spans="2:42" x14ac:dyDescent="0.25">
      <c r="B49" s="5" t="s">
        <v>21</v>
      </c>
      <c r="C49" s="5">
        <v>11</v>
      </c>
      <c r="D49" t="str">
        <f t="shared" si="0"/>
        <v>0211</v>
      </c>
      <c r="E49" s="5" t="s">
        <v>28</v>
      </c>
      <c r="F49" s="5" t="str">
        <f>VLOOKUP(E49,'Base Original'!$B$4:$C$16,2,0)</f>
        <v>CBB</v>
      </c>
      <c r="G49" s="5" t="str">
        <f t="shared" si="1"/>
        <v>C</v>
      </c>
      <c r="H49" s="5" t="str">
        <f t="shared" si="2"/>
        <v>B</v>
      </c>
      <c r="I49" s="5" t="str">
        <f t="shared" si="3"/>
        <v>B</v>
      </c>
      <c r="J49" s="5" t="str">
        <f t="shared" si="4"/>
        <v>CB</v>
      </c>
      <c r="K49" s="5" t="str">
        <f t="shared" si="5"/>
        <v>CB</v>
      </c>
      <c r="L49" s="5" t="str">
        <f t="shared" si="6"/>
        <v>BB</v>
      </c>
      <c r="M49">
        <v>25.79</v>
      </c>
      <c r="R49" s="3"/>
      <c r="S49" s="3"/>
      <c r="T49" s="3"/>
      <c r="U49" s="3"/>
      <c r="AI49"/>
      <c r="AM49" s="23"/>
      <c r="AN49" s="23"/>
      <c r="AO49" s="20"/>
      <c r="AP49" s="20"/>
    </row>
    <row r="50" spans="2:42" x14ac:dyDescent="0.25">
      <c r="B50" s="5" t="s">
        <v>21</v>
      </c>
      <c r="C50" s="5">
        <v>12</v>
      </c>
      <c r="D50" t="str">
        <f t="shared" si="0"/>
        <v>0212</v>
      </c>
      <c r="E50" s="5" t="s">
        <v>21</v>
      </c>
      <c r="F50" s="5" t="str">
        <f>VLOOKUP(E50,'Base Original'!$B$4:$C$16,2,0)</f>
        <v>BAA</v>
      </c>
      <c r="G50" s="5" t="str">
        <f t="shared" si="1"/>
        <v>B</v>
      </c>
      <c r="H50" s="5" t="str">
        <f t="shared" si="2"/>
        <v>A</v>
      </c>
      <c r="I50" s="5" t="str">
        <f t="shared" si="3"/>
        <v>A</v>
      </c>
      <c r="J50" s="5" t="str">
        <f t="shared" si="4"/>
        <v>BA</v>
      </c>
      <c r="K50" s="5" t="str">
        <f t="shared" si="5"/>
        <v>BA</v>
      </c>
      <c r="L50" s="5" t="str">
        <f t="shared" si="6"/>
        <v>AA</v>
      </c>
      <c r="M50">
        <v>24.24</v>
      </c>
      <c r="R50" t="s">
        <v>60</v>
      </c>
      <c r="S50" t="s">
        <v>10</v>
      </c>
      <c r="T50" t="s">
        <v>11</v>
      </c>
      <c r="U50" t="s">
        <v>12</v>
      </c>
      <c r="AI50"/>
      <c r="AM50" s="23"/>
      <c r="AN50" s="23"/>
      <c r="AO50" s="20"/>
      <c r="AP50" s="20"/>
    </row>
    <row r="51" spans="2:42" x14ac:dyDescent="0.25">
      <c r="B51" s="5" t="s">
        <v>22</v>
      </c>
      <c r="C51" s="5" t="s">
        <v>20</v>
      </c>
      <c r="D51" t="str">
        <f t="shared" si="0"/>
        <v>0301</v>
      </c>
      <c r="E51" s="5" t="s">
        <v>28</v>
      </c>
      <c r="F51" s="5" t="str">
        <f>VLOOKUP(E51,'Base Original'!$B$4:$C$16,2,0)</f>
        <v>CBB</v>
      </c>
      <c r="G51" s="5" t="str">
        <f t="shared" si="1"/>
        <v>C</v>
      </c>
      <c r="H51" s="5" t="str">
        <f t="shared" si="2"/>
        <v>B</v>
      </c>
      <c r="I51" s="5" t="str">
        <f t="shared" si="3"/>
        <v>B</v>
      </c>
      <c r="J51" s="5" t="str">
        <f t="shared" si="4"/>
        <v>CB</v>
      </c>
      <c r="K51" s="5" t="str">
        <f t="shared" si="5"/>
        <v>CB</v>
      </c>
      <c r="L51" s="5" t="str">
        <f t="shared" si="6"/>
        <v>BB</v>
      </c>
      <c r="M51">
        <v>23.99</v>
      </c>
      <c r="R51" t="s">
        <v>62</v>
      </c>
      <c r="S51">
        <f>SUMIFS($M$3:$M$290,$H$3:$H$290,R51)</f>
        <v>3479.2400000000002</v>
      </c>
      <c r="T51">
        <f>S51^2</f>
        <v>12105110.977600001</v>
      </c>
      <c r="U51">
        <f>COUNTIF($H$3:$H$290,R51)</f>
        <v>144</v>
      </c>
      <c r="AI51"/>
      <c r="AM51" s="23"/>
      <c r="AN51" s="23"/>
      <c r="AO51" s="20"/>
      <c r="AP51" s="20"/>
    </row>
    <row r="52" spans="2:42" x14ac:dyDescent="0.25">
      <c r="B52" s="5" t="s">
        <v>22</v>
      </c>
      <c r="C52" s="5" t="s">
        <v>21</v>
      </c>
      <c r="D52" t="str">
        <f t="shared" si="0"/>
        <v>0302</v>
      </c>
      <c r="E52" s="5">
        <v>12</v>
      </c>
      <c r="F52" s="5" t="str">
        <f>VLOOKUP(E52,'Base Original'!$B$4:$C$16,2,0)</f>
        <v>CAB</v>
      </c>
      <c r="G52" s="5" t="str">
        <f t="shared" si="1"/>
        <v>C</v>
      </c>
      <c r="H52" s="5" t="str">
        <f t="shared" si="2"/>
        <v>A</v>
      </c>
      <c r="I52" s="5" t="str">
        <f t="shared" si="3"/>
        <v>B</v>
      </c>
      <c r="J52" s="5" t="str">
        <f t="shared" si="4"/>
        <v>CA</v>
      </c>
      <c r="K52" s="5" t="str">
        <f t="shared" si="5"/>
        <v>CB</v>
      </c>
      <c r="L52" s="5" t="str">
        <f t="shared" si="6"/>
        <v>AB</v>
      </c>
      <c r="M52">
        <v>23.39</v>
      </c>
      <c r="R52" t="s">
        <v>64</v>
      </c>
      <c r="S52">
        <f>SUMIFS($M$3:$M$290,$H$3:$H$290,R52)</f>
        <v>3504.849999999999</v>
      </c>
      <c r="T52">
        <f t="shared" ref="T52" si="25">S52^2</f>
        <v>12283973.522499993</v>
      </c>
      <c r="U52">
        <f>COUNTIF($H$3:$H$290,R52)</f>
        <v>144</v>
      </c>
      <c r="AI52"/>
      <c r="AM52" s="23"/>
      <c r="AN52" s="23"/>
      <c r="AO52" s="20"/>
      <c r="AP52" s="20"/>
    </row>
    <row r="53" spans="2:42" x14ac:dyDescent="0.25">
      <c r="B53" s="5" t="s">
        <v>22</v>
      </c>
      <c r="C53" s="5" t="s">
        <v>22</v>
      </c>
      <c r="D53" t="str">
        <f t="shared" si="0"/>
        <v>0303</v>
      </c>
      <c r="E53" s="5" t="s">
        <v>20</v>
      </c>
      <c r="F53" s="5" t="str">
        <f>VLOOKUP(E53,'Base Original'!$B$4:$C$16,2,0)</f>
        <v>AAA</v>
      </c>
      <c r="G53" s="5" t="str">
        <f t="shared" si="1"/>
        <v>A</v>
      </c>
      <c r="H53" s="5" t="str">
        <f t="shared" si="2"/>
        <v>A</v>
      </c>
      <c r="I53" s="5" t="str">
        <f t="shared" si="3"/>
        <v>A</v>
      </c>
      <c r="J53" s="5" t="str">
        <f t="shared" si="4"/>
        <v>AA</v>
      </c>
      <c r="K53" s="5" t="str">
        <f t="shared" si="5"/>
        <v>AA</v>
      </c>
      <c r="L53" s="5" t="str">
        <f t="shared" si="6"/>
        <v>AA</v>
      </c>
      <c r="M53">
        <v>24.71</v>
      </c>
      <c r="R53" s="3"/>
      <c r="S53" s="3"/>
      <c r="T53" s="3"/>
      <c r="U53" s="3"/>
      <c r="AI53"/>
      <c r="AM53" s="23"/>
      <c r="AN53" s="23"/>
      <c r="AO53" s="20"/>
      <c r="AP53" s="20"/>
    </row>
    <row r="54" spans="2:42" x14ac:dyDescent="0.25">
      <c r="B54" s="5" t="s">
        <v>22</v>
      </c>
      <c r="C54" s="5" t="s">
        <v>23</v>
      </c>
      <c r="D54" t="str">
        <f t="shared" si="0"/>
        <v>0304</v>
      </c>
      <c r="E54" s="5" t="s">
        <v>24</v>
      </c>
      <c r="F54" s="5" t="str">
        <f>VLOOKUP(E54,'Base Original'!$B$4:$C$16,2,0)</f>
        <v>BBA</v>
      </c>
      <c r="G54" s="5" t="str">
        <f t="shared" si="1"/>
        <v>B</v>
      </c>
      <c r="H54" s="5" t="str">
        <f t="shared" si="2"/>
        <v>B</v>
      </c>
      <c r="I54" s="5" t="str">
        <f t="shared" si="3"/>
        <v>A</v>
      </c>
      <c r="J54" s="5" t="str">
        <f t="shared" si="4"/>
        <v>BB</v>
      </c>
      <c r="K54" s="5" t="str">
        <f t="shared" si="5"/>
        <v>BA</v>
      </c>
      <c r="L54" s="5" t="str">
        <f t="shared" si="6"/>
        <v>BA</v>
      </c>
      <c r="M54">
        <v>23.47</v>
      </c>
      <c r="R54" t="s">
        <v>61</v>
      </c>
      <c r="S54" t="s">
        <v>10</v>
      </c>
      <c r="T54" t="s">
        <v>11</v>
      </c>
      <c r="U54" t="s">
        <v>12</v>
      </c>
      <c r="AI54"/>
      <c r="AM54" s="23"/>
      <c r="AN54" s="23"/>
      <c r="AO54" s="20"/>
      <c r="AP54" s="20"/>
    </row>
    <row r="55" spans="2:42" x14ac:dyDescent="0.25">
      <c r="B55" s="5" t="s">
        <v>22</v>
      </c>
      <c r="C55" s="5" t="s">
        <v>24</v>
      </c>
      <c r="D55" t="str">
        <f t="shared" si="0"/>
        <v>0305</v>
      </c>
      <c r="E55" s="5" t="s">
        <v>27</v>
      </c>
      <c r="F55" s="5" t="str">
        <f>VLOOKUP(E55,'Base Original'!$B$4:$C$16,2,0)</f>
        <v>BBB</v>
      </c>
      <c r="G55" s="5" t="str">
        <f t="shared" si="1"/>
        <v>B</v>
      </c>
      <c r="H55" s="5" t="str">
        <f t="shared" si="2"/>
        <v>B</v>
      </c>
      <c r="I55" s="5" t="str">
        <f t="shared" si="3"/>
        <v>B</v>
      </c>
      <c r="J55" s="5" t="str">
        <f t="shared" si="4"/>
        <v>BB</v>
      </c>
      <c r="K55" s="5" t="str">
        <f t="shared" si="5"/>
        <v>BB</v>
      </c>
      <c r="L55" s="5" t="str">
        <f t="shared" si="6"/>
        <v>BB</v>
      </c>
      <c r="M55">
        <v>23.77</v>
      </c>
      <c r="R55" t="s">
        <v>62</v>
      </c>
      <c r="S55">
        <f>SUMIFS($M$3:$M$290,$I$3:$I$290,R55)</f>
        <v>3527.1199999999994</v>
      </c>
      <c r="T55">
        <f>S55^2</f>
        <v>12440575.494399996</v>
      </c>
      <c r="U55">
        <f>COUNTIF($I$3:$I$290,R55)</f>
        <v>144</v>
      </c>
      <c r="AI55"/>
      <c r="AM55" s="23"/>
      <c r="AN55" s="23"/>
      <c r="AO55" s="20"/>
      <c r="AP55" s="20"/>
    </row>
    <row r="56" spans="2:42" x14ac:dyDescent="0.25">
      <c r="B56" s="5" t="s">
        <v>22</v>
      </c>
      <c r="C56" s="5" t="s">
        <v>25</v>
      </c>
      <c r="D56" t="str">
        <f t="shared" si="0"/>
        <v>0306</v>
      </c>
      <c r="E56" s="5" t="s">
        <v>22</v>
      </c>
      <c r="F56" s="5" t="str">
        <f>VLOOKUP(E56,'Base Original'!$B$4:$C$16,2,0)</f>
        <v>CAA</v>
      </c>
      <c r="G56" s="5" t="str">
        <f t="shared" si="1"/>
        <v>C</v>
      </c>
      <c r="H56" s="5" t="str">
        <f t="shared" si="2"/>
        <v>A</v>
      </c>
      <c r="I56" s="5" t="str">
        <f t="shared" si="3"/>
        <v>A</v>
      </c>
      <c r="J56" s="5" t="str">
        <f t="shared" si="4"/>
        <v>CA</v>
      </c>
      <c r="K56" s="5" t="str">
        <f t="shared" si="5"/>
        <v>CA</v>
      </c>
      <c r="L56" s="5" t="str">
        <f t="shared" si="6"/>
        <v>AA</v>
      </c>
      <c r="M56">
        <v>24.18</v>
      </c>
      <c r="R56" t="s">
        <v>64</v>
      </c>
      <c r="S56">
        <f>SUMIFS($M$3:$M$290,$I$3:$I$290,R56)</f>
        <v>3456.9700000000003</v>
      </c>
      <c r="T56">
        <f>S56^2</f>
        <v>11950641.580900002</v>
      </c>
      <c r="U56">
        <f>COUNTIF($I$3:$I$290,R56)</f>
        <v>144</v>
      </c>
      <c r="AI56"/>
      <c r="AM56" s="23"/>
      <c r="AN56" s="23"/>
      <c r="AO56" s="20"/>
      <c r="AP56" s="20"/>
    </row>
    <row r="57" spans="2:42" x14ac:dyDescent="0.25">
      <c r="B57" s="5" t="s">
        <v>22</v>
      </c>
      <c r="C57" s="5" t="s">
        <v>26</v>
      </c>
      <c r="D57" t="str">
        <f t="shared" si="0"/>
        <v>0307</v>
      </c>
      <c r="E57" s="5">
        <v>11</v>
      </c>
      <c r="F57" s="5" t="str">
        <f>VLOOKUP(E57,'Base Original'!$B$4:$C$16,2,0)</f>
        <v>BAB</v>
      </c>
      <c r="G57" s="5" t="str">
        <f t="shared" si="1"/>
        <v>B</v>
      </c>
      <c r="H57" s="5" t="str">
        <f t="shared" si="2"/>
        <v>A</v>
      </c>
      <c r="I57" s="5" t="str">
        <f t="shared" si="3"/>
        <v>B</v>
      </c>
      <c r="J57" s="5" t="str">
        <f t="shared" si="4"/>
        <v>BA</v>
      </c>
      <c r="K57" s="5" t="str">
        <f t="shared" si="5"/>
        <v>BB</v>
      </c>
      <c r="L57" s="5" t="str">
        <f t="shared" si="6"/>
        <v>AB</v>
      </c>
      <c r="M57">
        <v>24.04</v>
      </c>
      <c r="R57" s="3"/>
      <c r="S57" s="3"/>
      <c r="T57" s="3"/>
      <c r="U57" s="3"/>
      <c r="AI57"/>
      <c r="AM57" s="23"/>
      <c r="AN57" s="23"/>
      <c r="AO57" s="20"/>
      <c r="AP57" s="20"/>
    </row>
    <row r="58" spans="2:42" x14ac:dyDescent="0.25">
      <c r="B58" s="5" t="s">
        <v>22</v>
      </c>
      <c r="C58" s="5" t="s">
        <v>27</v>
      </c>
      <c r="D58" t="str">
        <f t="shared" si="0"/>
        <v>0308</v>
      </c>
      <c r="E58" s="5" t="s">
        <v>21</v>
      </c>
      <c r="F58" s="5" t="str">
        <f>VLOOKUP(E58,'Base Original'!$B$4:$C$16,2,0)</f>
        <v>BAA</v>
      </c>
      <c r="G58" s="5" t="str">
        <f t="shared" si="1"/>
        <v>B</v>
      </c>
      <c r="H58" s="5" t="str">
        <f t="shared" si="2"/>
        <v>A</v>
      </c>
      <c r="I58" s="5" t="str">
        <f t="shared" si="3"/>
        <v>A</v>
      </c>
      <c r="J58" s="5" t="str">
        <f t="shared" si="4"/>
        <v>BA</v>
      </c>
      <c r="K58" s="5" t="str">
        <f t="shared" si="5"/>
        <v>BA</v>
      </c>
      <c r="L58" s="5" t="str">
        <f t="shared" si="6"/>
        <v>AA</v>
      </c>
      <c r="M58">
        <v>23.8</v>
      </c>
      <c r="R58" t="s">
        <v>65</v>
      </c>
      <c r="S58" t="s">
        <v>10</v>
      </c>
      <c r="T58" t="s">
        <v>11</v>
      </c>
      <c r="U58" t="s">
        <v>12</v>
      </c>
      <c r="AI58"/>
      <c r="AM58" s="23"/>
      <c r="AN58" s="23"/>
      <c r="AO58" s="20"/>
      <c r="AP58" s="20"/>
    </row>
    <row r="59" spans="2:42" x14ac:dyDescent="0.25">
      <c r="B59" s="5" t="s">
        <v>22</v>
      </c>
      <c r="C59" s="5" t="s">
        <v>28</v>
      </c>
      <c r="D59" t="str">
        <f t="shared" si="0"/>
        <v>0309</v>
      </c>
      <c r="E59" s="5" t="s">
        <v>26</v>
      </c>
      <c r="F59" s="5" t="str">
        <f>VLOOKUP(E59,'Base Original'!$B$4:$C$16,2,0)</f>
        <v>ABB</v>
      </c>
      <c r="G59" s="5" t="str">
        <f t="shared" si="1"/>
        <v>A</v>
      </c>
      <c r="H59" s="5" t="str">
        <f t="shared" si="2"/>
        <v>B</v>
      </c>
      <c r="I59" s="5" t="str">
        <f t="shared" si="3"/>
        <v>B</v>
      </c>
      <c r="J59" s="5" t="str">
        <f t="shared" si="4"/>
        <v>AB</v>
      </c>
      <c r="K59" s="5" t="str">
        <f t="shared" si="5"/>
        <v>AB</v>
      </c>
      <c r="L59" s="5" t="str">
        <f t="shared" si="6"/>
        <v>BB</v>
      </c>
      <c r="M59">
        <v>24.4</v>
      </c>
      <c r="R59" t="s">
        <v>69</v>
      </c>
      <c r="S59">
        <f>SUMIFS($M$3:$M$290,$J$3:$J$290,$R59)</f>
        <v>1166.0000000000002</v>
      </c>
      <c r="T59">
        <f>S59^2</f>
        <v>1359556.0000000005</v>
      </c>
      <c r="U59">
        <f>COUNTIF($J$3:$J$290,R59)</f>
        <v>48</v>
      </c>
      <c r="AI59"/>
      <c r="AM59" s="23"/>
      <c r="AN59" s="23"/>
      <c r="AO59" s="20"/>
      <c r="AP59" s="20"/>
    </row>
    <row r="60" spans="2:42" x14ac:dyDescent="0.25">
      <c r="B60" s="5" t="s">
        <v>22</v>
      </c>
      <c r="C60" s="5">
        <v>10</v>
      </c>
      <c r="D60" t="str">
        <f t="shared" si="0"/>
        <v>0310</v>
      </c>
      <c r="E60" s="5" t="s">
        <v>23</v>
      </c>
      <c r="F60" s="5" t="str">
        <f>VLOOKUP(E60,'Base Original'!$B$4:$C$16,2,0)</f>
        <v>ABA</v>
      </c>
      <c r="G60" s="5" t="str">
        <f t="shared" si="1"/>
        <v>A</v>
      </c>
      <c r="H60" s="5" t="str">
        <f t="shared" si="2"/>
        <v>B</v>
      </c>
      <c r="I60" s="5" t="str">
        <f t="shared" si="3"/>
        <v>A</v>
      </c>
      <c r="J60" s="5" t="str">
        <f t="shared" si="4"/>
        <v>AB</v>
      </c>
      <c r="K60" s="5" t="str">
        <f t="shared" si="5"/>
        <v>AA</v>
      </c>
      <c r="L60" s="5" t="str">
        <f t="shared" si="6"/>
        <v>BA</v>
      </c>
      <c r="M60">
        <v>25.51</v>
      </c>
      <c r="R60" t="s">
        <v>70</v>
      </c>
      <c r="S60">
        <f t="shared" ref="S60:S64" si="26">SUMIFS($M$3:$M$290,$J$3:$J$290,$R60)</f>
        <v>1178.4199999999998</v>
      </c>
      <c r="T60">
        <f t="shared" ref="T60:T64" si="27">S60^2</f>
        <v>1388673.6963999995</v>
      </c>
      <c r="U60">
        <f t="shared" ref="U60:U64" si="28">COUNTIF($J$3:$J$290,R60)</f>
        <v>48</v>
      </c>
      <c r="AI60"/>
      <c r="AM60" s="23"/>
      <c r="AN60" s="23"/>
      <c r="AO60" s="20"/>
      <c r="AP60" s="20"/>
    </row>
    <row r="61" spans="2:42" x14ac:dyDescent="0.25">
      <c r="B61" s="5" t="s">
        <v>22</v>
      </c>
      <c r="C61" s="5">
        <v>11</v>
      </c>
      <c r="D61" t="str">
        <f t="shared" si="0"/>
        <v>0311</v>
      </c>
      <c r="E61" s="5" t="s">
        <v>25</v>
      </c>
      <c r="F61" s="5" t="str">
        <f>VLOOKUP(E61,'Base Original'!$B$4:$C$16,2,0)</f>
        <v>CBA</v>
      </c>
      <c r="G61" s="5" t="str">
        <f t="shared" si="1"/>
        <v>C</v>
      </c>
      <c r="H61" s="5" t="str">
        <f t="shared" si="2"/>
        <v>B</v>
      </c>
      <c r="I61" s="5" t="str">
        <f t="shared" si="3"/>
        <v>A</v>
      </c>
      <c r="J61" s="5" t="str">
        <f t="shared" si="4"/>
        <v>CB</v>
      </c>
      <c r="K61" s="5" t="str">
        <f t="shared" si="5"/>
        <v>CA</v>
      </c>
      <c r="L61" s="5" t="str">
        <f t="shared" si="6"/>
        <v>BA</v>
      </c>
      <c r="M61">
        <v>24.14</v>
      </c>
      <c r="R61" t="s">
        <v>71</v>
      </c>
      <c r="S61">
        <f t="shared" si="26"/>
        <v>1173.6099999999999</v>
      </c>
      <c r="T61">
        <f t="shared" si="27"/>
        <v>1377360.4320999999</v>
      </c>
      <c r="U61">
        <f t="shared" si="28"/>
        <v>48</v>
      </c>
      <c r="AI61"/>
      <c r="AM61" s="23"/>
      <c r="AN61" s="23"/>
      <c r="AO61" s="20"/>
      <c r="AP61" s="20"/>
    </row>
    <row r="62" spans="2:42" x14ac:dyDescent="0.25">
      <c r="B62" s="5" t="s">
        <v>22</v>
      </c>
      <c r="C62" s="5">
        <v>12</v>
      </c>
      <c r="D62" t="str">
        <f t="shared" si="0"/>
        <v>0312</v>
      </c>
      <c r="E62" s="5">
        <v>10</v>
      </c>
      <c r="F62" s="5" t="str">
        <f>VLOOKUP(E62,'Base Original'!$B$4:$C$16,2,0)</f>
        <v>AAB</v>
      </c>
      <c r="G62" s="5" t="str">
        <f t="shared" si="1"/>
        <v>A</v>
      </c>
      <c r="H62" s="5" t="str">
        <f t="shared" si="2"/>
        <v>A</v>
      </c>
      <c r="I62" s="5" t="str">
        <f t="shared" si="3"/>
        <v>B</v>
      </c>
      <c r="J62" s="5" t="str">
        <f t="shared" si="4"/>
        <v>AA</v>
      </c>
      <c r="K62" s="5" t="str">
        <f t="shared" si="5"/>
        <v>AB</v>
      </c>
      <c r="L62" s="5" t="str">
        <f t="shared" si="6"/>
        <v>AB</v>
      </c>
      <c r="M62">
        <v>24.12</v>
      </c>
      <c r="R62" t="s">
        <v>72</v>
      </c>
      <c r="S62">
        <f t="shared" si="26"/>
        <v>1147.6399999999996</v>
      </c>
      <c r="T62">
        <f t="shared" si="27"/>
        <v>1317077.5695999991</v>
      </c>
      <c r="U62">
        <f t="shared" si="28"/>
        <v>48</v>
      </c>
      <c r="AI62"/>
      <c r="AM62" s="23"/>
      <c r="AN62" s="23"/>
      <c r="AO62" s="20"/>
      <c r="AP62" s="20"/>
    </row>
    <row r="63" spans="2:42" x14ac:dyDescent="0.25">
      <c r="B63" s="5" t="s">
        <v>22</v>
      </c>
      <c r="C63" s="5" t="s">
        <v>20</v>
      </c>
      <c r="D63" t="str">
        <f t="shared" si="0"/>
        <v>0301</v>
      </c>
      <c r="E63" s="5" t="s">
        <v>28</v>
      </c>
      <c r="F63" s="5" t="str">
        <f>VLOOKUP(E63,'Base Original'!$B$4:$C$16,2,0)</f>
        <v>CBB</v>
      </c>
      <c r="G63" s="5" t="str">
        <f t="shared" si="1"/>
        <v>C</v>
      </c>
      <c r="H63" s="5" t="str">
        <f t="shared" si="2"/>
        <v>B</v>
      </c>
      <c r="I63" s="5" t="str">
        <f t="shared" si="3"/>
        <v>B</v>
      </c>
      <c r="J63" s="5" t="str">
        <f t="shared" si="4"/>
        <v>CB</v>
      </c>
      <c r="K63" s="5" t="str">
        <f t="shared" si="5"/>
        <v>CB</v>
      </c>
      <c r="L63" s="5" t="str">
        <f t="shared" si="6"/>
        <v>BB</v>
      </c>
      <c r="M63">
        <v>23.98</v>
      </c>
      <c r="R63" t="s">
        <v>73</v>
      </c>
      <c r="S63">
        <f t="shared" si="26"/>
        <v>1152.82</v>
      </c>
      <c r="T63">
        <f t="shared" si="27"/>
        <v>1328993.9523999998</v>
      </c>
      <c r="U63">
        <f t="shared" si="28"/>
        <v>48</v>
      </c>
      <c r="AI63"/>
      <c r="AM63" s="23"/>
      <c r="AN63" s="23"/>
      <c r="AO63" s="20"/>
      <c r="AP63" s="20"/>
    </row>
    <row r="64" spans="2:42" x14ac:dyDescent="0.25">
      <c r="B64" s="5" t="s">
        <v>22</v>
      </c>
      <c r="C64" s="5" t="s">
        <v>21</v>
      </c>
      <c r="D64" t="str">
        <f t="shared" si="0"/>
        <v>0302</v>
      </c>
      <c r="E64" s="5">
        <v>12</v>
      </c>
      <c r="F64" s="5" t="str">
        <f>VLOOKUP(E64,'Base Original'!$B$4:$C$16,2,0)</f>
        <v>CAB</v>
      </c>
      <c r="G64" s="5" t="str">
        <f t="shared" si="1"/>
        <v>C</v>
      </c>
      <c r="H64" s="5" t="str">
        <f t="shared" si="2"/>
        <v>A</v>
      </c>
      <c r="I64" s="5" t="str">
        <f t="shared" si="3"/>
        <v>B</v>
      </c>
      <c r="J64" s="5" t="str">
        <f t="shared" si="4"/>
        <v>CA</v>
      </c>
      <c r="K64" s="5" t="str">
        <f t="shared" si="5"/>
        <v>CB</v>
      </c>
      <c r="L64" s="5" t="str">
        <f t="shared" si="6"/>
        <v>AB</v>
      </c>
      <c r="M64">
        <v>24.28</v>
      </c>
      <c r="R64" t="s">
        <v>74</v>
      </c>
      <c r="S64">
        <f t="shared" si="26"/>
        <v>1165.5999999999999</v>
      </c>
      <c r="T64">
        <f t="shared" si="27"/>
        <v>1358623.3599999999</v>
      </c>
      <c r="U64">
        <f t="shared" si="28"/>
        <v>48</v>
      </c>
      <c r="AI64"/>
      <c r="AM64" s="23"/>
      <c r="AN64" s="23"/>
      <c r="AO64" s="20"/>
      <c r="AP64" s="20"/>
    </row>
    <row r="65" spans="2:42" x14ac:dyDescent="0.25">
      <c r="B65" s="5" t="s">
        <v>22</v>
      </c>
      <c r="C65" s="5" t="s">
        <v>22</v>
      </c>
      <c r="D65" t="str">
        <f t="shared" si="0"/>
        <v>0303</v>
      </c>
      <c r="E65" s="5" t="s">
        <v>20</v>
      </c>
      <c r="F65" s="5" t="str">
        <f>VLOOKUP(E65,'Base Original'!$B$4:$C$16,2,0)</f>
        <v>AAA</v>
      </c>
      <c r="G65" s="5" t="str">
        <f t="shared" si="1"/>
        <v>A</v>
      </c>
      <c r="H65" s="5" t="str">
        <f t="shared" si="2"/>
        <v>A</v>
      </c>
      <c r="I65" s="5" t="str">
        <f t="shared" si="3"/>
        <v>A</v>
      </c>
      <c r="J65" s="5" t="str">
        <f t="shared" si="4"/>
        <v>AA</v>
      </c>
      <c r="K65" s="5" t="str">
        <f t="shared" si="5"/>
        <v>AA</v>
      </c>
      <c r="L65" s="5" t="str">
        <f t="shared" si="6"/>
        <v>AA</v>
      </c>
      <c r="M65">
        <v>26.14</v>
      </c>
      <c r="R65" s="3"/>
      <c r="S65" s="3"/>
      <c r="T65" s="3"/>
      <c r="U65" s="3"/>
      <c r="AI65"/>
      <c r="AM65" s="23"/>
      <c r="AN65" s="23"/>
      <c r="AO65" s="20"/>
      <c r="AP65" s="20"/>
    </row>
    <row r="66" spans="2:42" x14ac:dyDescent="0.25">
      <c r="B66" s="5" t="s">
        <v>22</v>
      </c>
      <c r="C66" s="5" t="s">
        <v>23</v>
      </c>
      <c r="D66" t="str">
        <f t="shared" si="0"/>
        <v>0304</v>
      </c>
      <c r="E66" s="5" t="s">
        <v>24</v>
      </c>
      <c r="F66" s="5" t="str">
        <f>VLOOKUP(E66,'Base Original'!$B$4:$C$16,2,0)</f>
        <v>BBA</v>
      </c>
      <c r="G66" s="5" t="str">
        <f t="shared" si="1"/>
        <v>B</v>
      </c>
      <c r="H66" s="5" t="str">
        <f t="shared" si="2"/>
        <v>B</v>
      </c>
      <c r="I66" s="5" t="str">
        <f t="shared" si="3"/>
        <v>A</v>
      </c>
      <c r="J66" s="5" t="str">
        <f t="shared" si="4"/>
        <v>BB</v>
      </c>
      <c r="K66" s="5" t="str">
        <f t="shared" si="5"/>
        <v>BA</v>
      </c>
      <c r="L66" s="5" t="str">
        <f t="shared" si="6"/>
        <v>BA</v>
      </c>
      <c r="M66">
        <v>24.08</v>
      </c>
      <c r="R66" t="s">
        <v>75</v>
      </c>
      <c r="S66" t="s">
        <v>10</v>
      </c>
      <c r="T66" t="s">
        <v>11</v>
      </c>
      <c r="U66" t="s">
        <v>12</v>
      </c>
      <c r="AI66"/>
      <c r="AM66" s="23"/>
      <c r="AN66" s="23"/>
      <c r="AO66" s="20"/>
      <c r="AP66" s="20"/>
    </row>
    <row r="67" spans="2:42" x14ac:dyDescent="0.25">
      <c r="B67" s="5" t="s">
        <v>22</v>
      </c>
      <c r="C67" s="5" t="s">
        <v>24</v>
      </c>
      <c r="D67" t="str">
        <f t="shared" si="0"/>
        <v>0305</v>
      </c>
      <c r="E67" s="5" t="s">
        <v>27</v>
      </c>
      <c r="F67" s="5" t="str">
        <f>VLOOKUP(E67,'Base Original'!$B$4:$C$16,2,0)</f>
        <v>BBB</v>
      </c>
      <c r="G67" s="5" t="str">
        <f t="shared" si="1"/>
        <v>B</v>
      </c>
      <c r="H67" s="5" t="str">
        <f t="shared" si="2"/>
        <v>B</v>
      </c>
      <c r="I67" s="5" t="str">
        <f t="shared" si="3"/>
        <v>B</v>
      </c>
      <c r="J67" s="5" t="str">
        <f t="shared" si="4"/>
        <v>BB</v>
      </c>
      <c r="K67" s="5" t="str">
        <f t="shared" si="5"/>
        <v>BB</v>
      </c>
      <c r="L67" s="5" t="str">
        <f t="shared" si="6"/>
        <v>BB</v>
      </c>
      <c r="M67">
        <v>22.77</v>
      </c>
      <c r="R67" t="s">
        <v>69</v>
      </c>
      <c r="S67">
        <f>SUMIFS($M$3:$M$290,$K$3:$K$290,$R67)</f>
        <v>1196.7700000000002</v>
      </c>
      <c r="T67">
        <f>S67^2</f>
        <v>1432258.4329000006</v>
      </c>
      <c r="U67">
        <f>COUNTIF($K$3:$K$290,R67)</f>
        <v>48</v>
      </c>
      <c r="AI67"/>
      <c r="AM67" s="23"/>
      <c r="AN67" s="23"/>
      <c r="AO67" s="20"/>
      <c r="AP67" s="20"/>
    </row>
    <row r="68" spans="2:42" x14ac:dyDescent="0.25">
      <c r="B68" s="5" t="s">
        <v>22</v>
      </c>
      <c r="C68" s="5" t="s">
        <v>25</v>
      </c>
      <c r="D68" t="str">
        <f t="shared" ref="D68:D131" si="29">B68&amp;C68</f>
        <v>0306</v>
      </c>
      <c r="E68" s="5" t="s">
        <v>22</v>
      </c>
      <c r="F68" s="5" t="str">
        <f>VLOOKUP(E68,'Base Original'!$B$4:$C$16,2,0)</f>
        <v>CAA</v>
      </c>
      <c r="G68" s="5" t="str">
        <f t="shared" ref="G68:G131" si="30">LEFT(F68,1)</f>
        <v>C</v>
      </c>
      <c r="H68" s="5" t="str">
        <f t="shared" ref="H68:H131" si="31">MID(F68,2,1)</f>
        <v>A</v>
      </c>
      <c r="I68" s="5" t="str">
        <f t="shared" ref="I68:I131" si="32">RIGHT(F68,1)</f>
        <v>A</v>
      </c>
      <c r="J68" s="5" t="str">
        <f t="shared" ref="J68:J131" si="33">G68&amp;H68</f>
        <v>CA</v>
      </c>
      <c r="K68" s="5" t="str">
        <f t="shared" ref="K68:K131" si="34">G68&amp;I68</f>
        <v>CA</v>
      </c>
      <c r="L68" s="5" t="str">
        <f t="shared" ref="L68:L131" si="35">H68&amp;I68</f>
        <v>AA</v>
      </c>
      <c r="M68">
        <v>23.58</v>
      </c>
      <c r="R68" t="s">
        <v>70</v>
      </c>
      <c r="S68">
        <f t="shared" ref="S68:S72" si="36">SUMIFS($M$3:$M$290,$K$3:$K$290,$R68)</f>
        <v>1147.6500000000001</v>
      </c>
      <c r="T68">
        <f t="shared" ref="T68:T72" si="37">S68^2</f>
        <v>1317100.5225000002</v>
      </c>
      <c r="U68">
        <f t="shared" ref="U68:U72" si="38">COUNTIF($K$3:$K$290,R68)</f>
        <v>48</v>
      </c>
      <c r="AI68"/>
      <c r="AM68" s="23"/>
      <c r="AN68" s="23"/>
      <c r="AO68" s="20"/>
      <c r="AP68" s="20"/>
    </row>
    <row r="69" spans="2:42" x14ac:dyDescent="0.25">
      <c r="B69" s="5" t="s">
        <v>22</v>
      </c>
      <c r="C69" s="5" t="s">
        <v>26</v>
      </c>
      <c r="D69" t="str">
        <f t="shared" si="29"/>
        <v>0307</v>
      </c>
      <c r="E69" s="5">
        <v>11</v>
      </c>
      <c r="F69" s="5" t="str">
        <f>VLOOKUP(E69,'Base Original'!$B$4:$C$16,2,0)</f>
        <v>BAB</v>
      </c>
      <c r="G69" s="5" t="str">
        <f t="shared" si="30"/>
        <v>B</v>
      </c>
      <c r="H69" s="5" t="str">
        <f t="shared" si="31"/>
        <v>A</v>
      </c>
      <c r="I69" s="5" t="str">
        <f t="shared" si="32"/>
        <v>B</v>
      </c>
      <c r="J69" s="5" t="str">
        <f t="shared" si="33"/>
        <v>BA</v>
      </c>
      <c r="K69" s="5" t="str">
        <f t="shared" si="34"/>
        <v>BB</v>
      </c>
      <c r="L69" s="5" t="str">
        <f t="shared" si="35"/>
        <v>AB</v>
      </c>
      <c r="M69">
        <v>25.28</v>
      </c>
      <c r="R69" t="s">
        <v>71</v>
      </c>
      <c r="S69">
        <f t="shared" si="36"/>
        <v>1163.3800000000001</v>
      </c>
      <c r="T69">
        <f t="shared" si="37"/>
        <v>1353453.0244000002</v>
      </c>
      <c r="U69">
        <f t="shared" si="38"/>
        <v>48</v>
      </c>
      <c r="AI69"/>
      <c r="AM69" s="23"/>
      <c r="AN69" s="23"/>
      <c r="AO69" s="20"/>
      <c r="AP69" s="20"/>
    </row>
    <row r="70" spans="2:42" x14ac:dyDescent="0.25">
      <c r="B70" s="5" t="s">
        <v>22</v>
      </c>
      <c r="C70" s="5" t="s">
        <v>27</v>
      </c>
      <c r="D70" t="str">
        <f t="shared" si="29"/>
        <v>0308</v>
      </c>
      <c r="E70" s="5" t="s">
        <v>21</v>
      </c>
      <c r="F70" s="5" t="str">
        <f>VLOOKUP(E70,'Base Original'!$B$4:$C$16,2,0)</f>
        <v>BAA</v>
      </c>
      <c r="G70" s="5" t="str">
        <f t="shared" si="30"/>
        <v>B</v>
      </c>
      <c r="H70" s="5" t="str">
        <f t="shared" si="31"/>
        <v>A</v>
      </c>
      <c r="I70" s="5" t="str">
        <f t="shared" si="32"/>
        <v>A</v>
      </c>
      <c r="J70" s="5" t="str">
        <f t="shared" si="33"/>
        <v>BA</v>
      </c>
      <c r="K70" s="5" t="str">
        <f t="shared" si="34"/>
        <v>BA</v>
      </c>
      <c r="L70" s="5" t="str">
        <f t="shared" si="35"/>
        <v>AA</v>
      </c>
      <c r="M70">
        <v>23.34</v>
      </c>
      <c r="R70" t="s">
        <v>72</v>
      </c>
      <c r="S70">
        <f t="shared" si="36"/>
        <v>1157.8699999999997</v>
      </c>
      <c r="T70">
        <f t="shared" si="37"/>
        <v>1340662.9368999992</v>
      </c>
      <c r="U70">
        <f t="shared" si="38"/>
        <v>48</v>
      </c>
      <c r="AI70"/>
      <c r="AM70" s="23"/>
      <c r="AN70" s="23"/>
      <c r="AO70" s="20"/>
      <c r="AP70" s="20"/>
    </row>
    <row r="71" spans="2:42" x14ac:dyDescent="0.25">
      <c r="B71" s="5" t="s">
        <v>22</v>
      </c>
      <c r="C71" s="5" t="s">
        <v>28</v>
      </c>
      <c r="D71" t="str">
        <f t="shared" si="29"/>
        <v>0309</v>
      </c>
      <c r="E71" s="5" t="s">
        <v>26</v>
      </c>
      <c r="F71" s="5" t="str">
        <f>VLOOKUP(E71,'Base Original'!$B$4:$C$16,2,0)</f>
        <v>ABB</v>
      </c>
      <c r="G71" s="5" t="str">
        <f t="shared" si="30"/>
        <v>A</v>
      </c>
      <c r="H71" s="5" t="str">
        <f t="shared" si="31"/>
        <v>B</v>
      </c>
      <c r="I71" s="5" t="str">
        <f t="shared" si="32"/>
        <v>B</v>
      </c>
      <c r="J71" s="5" t="str">
        <f t="shared" si="33"/>
        <v>AB</v>
      </c>
      <c r="K71" s="5" t="str">
        <f t="shared" si="34"/>
        <v>AB</v>
      </c>
      <c r="L71" s="5" t="str">
        <f t="shared" si="35"/>
        <v>BB</v>
      </c>
      <c r="M71">
        <v>23.55</v>
      </c>
      <c r="R71" t="s">
        <v>73</v>
      </c>
      <c r="S71">
        <f t="shared" si="36"/>
        <v>1145.9399999999998</v>
      </c>
      <c r="T71">
        <f t="shared" si="37"/>
        <v>1313178.4835999997</v>
      </c>
      <c r="U71">
        <f t="shared" si="38"/>
        <v>48</v>
      </c>
      <c r="AI71"/>
      <c r="AM71" s="23"/>
      <c r="AN71" s="23"/>
      <c r="AO71" s="20"/>
      <c r="AP71" s="20"/>
    </row>
    <row r="72" spans="2:42" x14ac:dyDescent="0.25">
      <c r="B72" s="5" t="s">
        <v>22</v>
      </c>
      <c r="C72" s="5">
        <v>10</v>
      </c>
      <c r="D72" t="str">
        <f t="shared" si="29"/>
        <v>0310</v>
      </c>
      <c r="E72" s="5" t="s">
        <v>23</v>
      </c>
      <c r="F72" s="5" t="str">
        <f>VLOOKUP(E72,'Base Original'!$B$4:$C$16,2,0)</f>
        <v>ABA</v>
      </c>
      <c r="G72" s="5" t="str">
        <f t="shared" si="30"/>
        <v>A</v>
      </c>
      <c r="H72" s="5" t="str">
        <f t="shared" si="31"/>
        <v>B</v>
      </c>
      <c r="I72" s="5" t="str">
        <f t="shared" si="32"/>
        <v>A</v>
      </c>
      <c r="J72" s="5" t="str">
        <f t="shared" si="33"/>
        <v>AB</v>
      </c>
      <c r="K72" s="5" t="str">
        <f t="shared" si="34"/>
        <v>AA</v>
      </c>
      <c r="L72" s="5" t="str">
        <f t="shared" si="35"/>
        <v>BA</v>
      </c>
      <c r="M72">
        <v>25.01</v>
      </c>
      <c r="R72" t="s">
        <v>74</v>
      </c>
      <c r="S72">
        <f t="shared" si="36"/>
        <v>1172.48</v>
      </c>
      <c r="T72">
        <f t="shared" si="37"/>
        <v>1374709.3504000001</v>
      </c>
      <c r="U72">
        <f t="shared" si="38"/>
        <v>48</v>
      </c>
      <c r="AI72"/>
      <c r="AM72" s="23"/>
      <c r="AN72" s="23"/>
      <c r="AO72" s="20"/>
      <c r="AP72" s="20"/>
    </row>
    <row r="73" spans="2:42" x14ac:dyDescent="0.25">
      <c r="B73" s="5" t="s">
        <v>22</v>
      </c>
      <c r="C73" s="5">
        <v>11</v>
      </c>
      <c r="D73" t="str">
        <f t="shared" si="29"/>
        <v>0311</v>
      </c>
      <c r="E73" s="5" t="s">
        <v>25</v>
      </c>
      <c r="F73" s="5" t="str">
        <f>VLOOKUP(E73,'Base Original'!$B$4:$C$16,2,0)</f>
        <v>CBA</v>
      </c>
      <c r="G73" s="5" t="str">
        <f t="shared" si="30"/>
        <v>C</v>
      </c>
      <c r="H73" s="5" t="str">
        <f t="shared" si="31"/>
        <v>B</v>
      </c>
      <c r="I73" s="5" t="str">
        <f t="shared" si="32"/>
        <v>A</v>
      </c>
      <c r="J73" s="5" t="str">
        <f t="shared" si="33"/>
        <v>CB</v>
      </c>
      <c r="K73" s="5" t="str">
        <f t="shared" si="34"/>
        <v>CA</v>
      </c>
      <c r="L73" s="5" t="str">
        <f t="shared" si="35"/>
        <v>BA</v>
      </c>
      <c r="M73">
        <v>25.05</v>
      </c>
      <c r="R73" s="3"/>
      <c r="S73" s="3"/>
      <c r="T73" s="3"/>
      <c r="U73" s="3"/>
      <c r="AI73"/>
      <c r="AM73" s="23"/>
      <c r="AN73" s="23"/>
      <c r="AO73" s="20"/>
      <c r="AP73" s="20"/>
    </row>
    <row r="74" spans="2:42" x14ac:dyDescent="0.25">
      <c r="B74" s="5" t="s">
        <v>22</v>
      </c>
      <c r="C74" s="5">
        <v>12</v>
      </c>
      <c r="D74" t="str">
        <f t="shared" si="29"/>
        <v>0312</v>
      </c>
      <c r="E74" s="5">
        <v>10</v>
      </c>
      <c r="F74" s="5" t="str">
        <f>VLOOKUP(E74,'Base Original'!$B$4:$C$16,2,0)</f>
        <v>AAB</v>
      </c>
      <c r="G74" s="5" t="str">
        <f t="shared" si="30"/>
        <v>A</v>
      </c>
      <c r="H74" s="5" t="str">
        <f t="shared" si="31"/>
        <v>A</v>
      </c>
      <c r="I74" s="5" t="str">
        <f t="shared" si="32"/>
        <v>B</v>
      </c>
      <c r="J74" s="5" t="str">
        <f t="shared" si="33"/>
        <v>AA</v>
      </c>
      <c r="K74" s="5" t="str">
        <f t="shared" si="34"/>
        <v>AB</v>
      </c>
      <c r="L74" s="5" t="str">
        <f t="shared" si="35"/>
        <v>AB</v>
      </c>
      <c r="M74">
        <v>24.06</v>
      </c>
      <c r="R74" t="s">
        <v>76</v>
      </c>
      <c r="S74" t="s">
        <v>10</v>
      </c>
      <c r="T74" t="s">
        <v>11</v>
      </c>
      <c r="U74" t="s">
        <v>12</v>
      </c>
      <c r="AI74"/>
      <c r="AM74" s="23"/>
      <c r="AN74" s="23"/>
      <c r="AO74" s="20"/>
      <c r="AP74" s="20"/>
    </row>
    <row r="75" spans="2:42" x14ac:dyDescent="0.25">
      <c r="B75" s="5" t="s">
        <v>23</v>
      </c>
      <c r="C75" s="5" t="s">
        <v>20</v>
      </c>
      <c r="D75" t="str">
        <f t="shared" si="29"/>
        <v>0401</v>
      </c>
      <c r="E75" s="5" t="s">
        <v>22</v>
      </c>
      <c r="F75" s="5" t="str">
        <f>VLOOKUP(E75,'Base Original'!$B$4:$C$16,2,0)</f>
        <v>CAA</v>
      </c>
      <c r="G75" s="5" t="str">
        <f t="shared" si="30"/>
        <v>C</v>
      </c>
      <c r="H75" s="5" t="str">
        <f t="shared" si="31"/>
        <v>A</v>
      </c>
      <c r="I75" s="5" t="str">
        <f t="shared" si="32"/>
        <v>A</v>
      </c>
      <c r="J75" s="5" t="str">
        <f t="shared" si="33"/>
        <v>CA</v>
      </c>
      <c r="K75" s="5" t="str">
        <f t="shared" si="34"/>
        <v>CA</v>
      </c>
      <c r="L75" s="5" t="str">
        <f t="shared" si="35"/>
        <v>AA</v>
      </c>
      <c r="M75">
        <v>23.67</v>
      </c>
      <c r="R75" t="s">
        <v>69</v>
      </c>
      <c r="S75">
        <f>SUMIFS($M$3:$M$290,$L$3:$L$290,$R75)</f>
        <v>1758.1499999999996</v>
      </c>
      <c r="T75">
        <f>S75^2</f>
        <v>3091091.4224999989</v>
      </c>
      <c r="U75">
        <f>COUNTIF($L$3:$L$290,R75)</f>
        <v>72</v>
      </c>
      <c r="AI75"/>
      <c r="AM75" s="23"/>
      <c r="AN75" s="23"/>
      <c r="AO75" s="20"/>
      <c r="AP75" s="20"/>
    </row>
    <row r="76" spans="2:42" x14ac:dyDescent="0.25">
      <c r="B76" s="5" t="s">
        <v>23</v>
      </c>
      <c r="C76" s="5" t="s">
        <v>21</v>
      </c>
      <c r="D76" t="str">
        <f t="shared" si="29"/>
        <v>0402</v>
      </c>
      <c r="E76" s="5" t="s">
        <v>28</v>
      </c>
      <c r="F76" s="5" t="str">
        <f>VLOOKUP(E76,'Base Original'!$B$4:$C$16,2,0)</f>
        <v>CBB</v>
      </c>
      <c r="G76" s="5" t="str">
        <f t="shared" si="30"/>
        <v>C</v>
      </c>
      <c r="H76" s="5" t="str">
        <f t="shared" si="31"/>
        <v>B</v>
      </c>
      <c r="I76" s="5" t="str">
        <f t="shared" si="32"/>
        <v>B</v>
      </c>
      <c r="J76" s="5" t="str">
        <f t="shared" si="33"/>
        <v>CB</v>
      </c>
      <c r="K76" s="5" t="str">
        <f t="shared" si="34"/>
        <v>CB</v>
      </c>
      <c r="L76" s="5" t="str">
        <f t="shared" si="35"/>
        <v>BB</v>
      </c>
      <c r="M76">
        <v>23.43</v>
      </c>
      <c r="R76" t="s">
        <v>70</v>
      </c>
      <c r="S76">
        <f t="shared" ref="S76:S78" si="39">SUMIFS($M$3:$M$290,$L$3:$L$290,$R76)</f>
        <v>1721.0899999999997</v>
      </c>
      <c r="T76">
        <f t="shared" ref="T76:T78" si="40">S76^2</f>
        <v>2962150.7880999991</v>
      </c>
      <c r="U76">
        <f t="shared" ref="U76:U78" si="41">COUNTIF($L$3:$L$290,R76)</f>
        <v>72</v>
      </c>
      <c r="AI76"/>
      <c r="AM76" s="23"/>
      <c r="AN76" s="23"/>
      <c r="AO76" s="20"/>
      <c r="AP76" s="20"/>
    </row>
    <row r="77" spans="2:42" x14ac:dyDescent="0.25">
      <c r="B77" s="5" t="s">
        <v>23</v>
      </c>
      <c r="C77" s="5" t="s">
        <v>22</v>
      </c>
      <c r="D77" t="str">
        <f t="shared" si="29"/>
        <v>0403</v>
      </c>
      <c r="E77" s="5">
        <v>11</v>
      </c>
      <c r="F77" s="5" t="str">
        <f>VLOOKUP(E77,'Base Original'!$B$4:$C$16,2,0)</f>
        <v>BAB</v>
      </c>
      <c r="G77" s="5" t="str">
        <f t="shared" si="30"/>
        <v>B</v>
      </c>
      <c r="H77" s="5" t="str">
        <f t="shared" si="31"/>
        <v>A</v>
      </c>
      <c r="I77" s="5" t="str">
        <f t="shared" si="32"/>
        <v>B</v>
      </c>
      <c r="J77" s="5" t="str">
        <f t="shared" si="33"/>
        <v>BA</v>
      </c>
      <c r="K77" s="5" t="str">
        <f t="shared" si="34"/>
        <v>BB</v>
      </c>
      <c r="L77" s="5" t="str">
        <f t="shared" si="35"/>
        <v>AB</v>
      </c>
      <c r="M77">
        <v>22.85</v>
      </c>
      <c r="R77" t="s">
        <v>74</v>
      </c>
      <c r="S77">
        <f t="shared" si="39"/>
        <v>1768.9699999999998</v>
      </c>
      <c r="T77">
        <f t="shared" si="40"/>
        <v>3129254.8608999993</v>
      </c>
      <c r="U77">
        <f t="shared" si="41"/>
        <v>72</v>
      </c>
      <c r="AI77"/>
      <c r="AM77" s="23"/>
      <c r="AN77" s="23"/>
      <c r="AO77" s="20"/>
      <c r="AP77" s="20"/>
    </row>
    <row r="78" spans="2:42" x14ac:dyDescent="0.25">
      <c r="B78" s="5" t="s">
        <v>23</v>
      </c>
      <c r="C78" s="5" t="s">
        <v>23</v>
      </c>
      <c r="D78" t="str">
        <f t="shared" si="29"/>
        <v>0404</v>
      </c>
      <c r="E78" s="5" t="s">
        <v>26</v>
      </c>
      <c r="F78" s="5" t="str">
        <f>VLOOKUP(E78,'Base Original'!$B$4:$C$16,2,0)</f>
        <v>ABB</v>
      </c>
      <c r="G78" s="5" t="str">
        <f t="shared" si="30"/>
        <v>A</v>
      </c>
      <c r="H78" s="5" t="str">
        <f t="shared" si="31"/>
        <v>B</v>
      </c>
      <c r="I78" s="5" t="str">
        <f t="shared" si="32"/>
        <v>B</v>
      </c>
      <c r="J78" s="5" t="str">
        <f t="shared" si="33"/>
        <v>AB</v>
      </c>
      <c r="K78" s="5" t="str">
        <f t="shared" si="34"/>
        <v>AB</v>
      </c>
      <c r="L78" s="5" t="str">
        <f t="shared" si="35"/>
        <v>BB</v>
      </c>
      <c r="M78">
        <v>24</v>
      </c>
      <c r="R78" t="s">
        <v>73</v>
      </c>
      <c r="S78">
        <f t="shared" si="39"/>
        <v>1735.8799999999997</v>
      </c>
      <c r="T78">
        <f t="shared" si="40"/>
        <v>3013279.3743999987</v>
      </c>
      <c r="U78">
        <f t="shared" si="41"/>
        <v>72</v>
      </c>
      <c r="AI78"/>
      <c r="AM78" s="23"/>
      <c r="AN78" s="23"/>
      <c r="AO78" s="20"/>
      <c r="AP78" s="20"/>
    </row>
    <row r="79" spans="2:42" x14ac:dyDescent="0.25">
      <c r="B79" s="5" t="s">
        <v>23</v>
      </c>
      <c r="C79" s="5" t="s">
        <v>24</v>
      </c>
      <c r="D79" t="str">
        <f t="shared" si="29"/>
        <v>0405</v>
      </c>
      <c r="E79" s="5" t="s">
        <v>24</v>
      </c>
      <c r="F79" s="5" t="str">
        <f>VLOOKUP(E79,'Base Original'!$B$4:$C$16,2,0)</f>
        <v>BBA</v>
      </c>
      <c r="G79" s="5" t="str">
        <f t="shared" si="30"/>
        <v>B</v>
      </c>
      <c r="H79" s="5" t="str">
        <f t="shared" si="31"/>
        <v>B</v>
      </c>
      <c r="I79" s="5" t="str">
        <f t="shared" si="32"/>
        <v>A</v>
      </c>
      <c r="J79" s="5" t="str">
        <f t="shared" si="33"/>
        <v>BB</v>
      </c>
      <c r="K79" s="5" t="str">
        <f t="shared" si="34"/>
        <v>BA</v>
      </c>
      <c r="L79" s="5" t="str">
        <f t="shared" si="35"/>
        <v>BA</v>
      </c>
      <c r="M79">
        <v>23.31</v>
      </c>
      <c r="R79" s="3"/>
      <c r="S79" s="3"/>
      <c r="T79" s="3"/>
      <c r="U79" s="3"/>
      <c r="AI79"/>
      <c r="AM79" s="23"/>
      <c r="AN79" s="23"/>
      <c r="AO79" s="20"/>
      <c r="AP79" s="20"/>
    </row>
    <row r="80" spans="2:42" x14ac:dyDescent="0.25">
      <c r="B80" s="5" t="s">
        <v>23</v>
      </c>
      <c r="C80" s="5" t="s">
        <v>25</v>
      </c>
      <c r="D80" t="str">
        <f t="shared" si="29"/>
        <v>0406</v>
      </c>
      <c r="E80" s="5" t="s">
        <v>20</v>
      </c>
      <c r="F80" s="5" t="str">
        <f>VLOOKUP(E80,'Base Original'!$B$4:$C$16,2,0)</f>
        <v>AAA</v>
      </c>
      <c r="G80" s="5" t="str">
        <f t="shared" si="30"/>
        <v>A</v>
      </c>
      <c r="H80" s="5" t="str">
        <f t="shared" si="31"/>
        <v>A</v>
      </c>
      <c r="I80" s="5" t="str">
        <f t="shared" si="32"/>
        <v>A</v>
      </c>
      <c r="J80" s="5" t="str">
        <f t="shared" si="33"/>
        <v>AA</v>
      </c>
      <c r="K80" s="5" t="str">
        <f t="shared" si="34"/>
        <v>AA</v>
      </c>
      <c r="L80" s="5" t="str">
        <f t="shared" si="35"/>
        <v>AA</v>
      </c>
      <c r="M80">
        <v>25.24</v>
      </c>
      <c r="R80" t="s">
        <v>81</v>
      </c>
      <c r="S80" t="s">
        <v>10</v>
      </c>
      <c r="T80" t="s">
        <v>11</v>
      </c>
      <c r="U80" t="s">
        <v>12</v>
      </c>
      <c r="AI80"/>
      <c r="AM80" s="23"/>
      <c r="AN80" s="23"/>
      <c r="AO80" s="20"/>
      <c r="AP80" s="20"/>
    </row>
    <row r="81" spans="2:42" x14ac:dyDescent="0.25">
      <c r="B81" s="5" t="s">
        <v>23</v>
      </c>
      <c r="C81" s="5" t="s">
        <v>26</v>
      </c>
      <c r="D81" t="str">
        <f t="shared" si="29"/>
        <v>0407</v>
      </c>
      <c r="E81" s="5" t="s">
        <v>27</v>
      </c>
      <c r="F81" s="5" t="str">
        <f>VLOOKUP(E81,'Base Original'!$B$4:$C$16,2,0)</f>
        <v>BBB</v>
      </c>
      <c r="G81" s="5" t="str">
        <f t="shared" si="30"/>
        <v>B</v>
      </c>
      <c r="H81" s="5" t="str">
        <f t="shared" si="31"/>
        <v>B</v>
      </c>
      <c r="I81" s="5" t="str">
        <f t="shared" si="32"/>
        <v>B</v>
      </c>
      <c r="J81" s="5" t="str">
        <f t="shared" si="33"/>
        <v>BB</v>
      </c>
      <c r="K81" s="5" t="str">
        <f t="shared" si="34"/>
        <v>BB</v>
      </c>
      <c r="L81" s="5" t="str">
        <f t="shared" si="35"/>
        <v>BB</v>
      </c>
      <c r="M81">
        <v>23.56</v>
      </c>
      <c r="R81" t="s">
        <v>51</v>
      </c>
      <c r="S81">
        <f>SUMIFS($M$3:$M$290,$F$3:$F$290,$R81)</f>
        <v>566.62000000000012</v>
      </c>
      <c r="T81">
        <f>S81^2</f>
        <v>321058.22440000012</v>
      </c>
      <c r="U81">
        <f>COUNTIF($F$3:$F$290,R81)</f>
        <v>24</v>
      </c>
      <c r="AI81"/>
      <c r="AM81" s="23"/>
      <c r="AN81" s="23"/>
      <c r="AO81" s="20"/>
      <c r="AP81" s="20"/>
    </row>
    <row r="82" spans="2:42" x14ac:dyDescent="0.25">
      <c r="B82" s="5" t="s">
        <v>23</v>
      </c>
      <c r="C82" s="5" t="s">
        <v>27</v>
      </c>
      <c r="D82" t="str">
        <f t="shared" si="29"/>
        <v>0408</v>
      </c>
      <c r="E82" s="5">
        <v>10</v>
      </c>
      <c r="F82" s="5" t="str">
        <f>VLOOKUP(E82,'Base Original'!$B$4:$C$16,2,0)</f>
        <v>AAB</v>
      </c>
      <c r="G82" s="5" t="str">
        <f t="shared" si="30"/>
        <v>A</v>
      </c>
      <c r="H82" s="5" t="str">
        <f t="shared" si="31"/>
        <v>A</v>
      </c>
      <c r="I82" s="5" t="str">
        <f t="shared" si="32"/>
        <v>B</v>
      </c>
      <c r="J82" s="5" t="str">
        <f t="shared" si="33"/>
        <v>AA</v>
      </c>
      <c r="K82" s="5" t="str">
        <f t="shared" si="34"/>
        <v>AB</v>
      </c>
      <c r="L82" s="5" t="str">
        <f t="shared" si="35"/>
        <v>AB</v>
      </c>
      <c r="M82">
        <v>24.92</v>
      </c>
      <c r="R82" t="s">
        <v>48</v>
      </c>
      <c r="S82">
        <f t="shared" ref="S82:S92" si="42">SUMIFS($M$3:$M$290,$F$3:$F$290,$R82)</f>
        <v>581.03000000000009</v>
      </c>
      <c r="T82">
        <f t="shared" ref="T82:T92" si="43">S82^2</f>
        <v>337595.86090000009</v>
      </c>
      <c r="U82">
        <f t="shared" ref="U82:U92" si="44">COUNTIF($F$3:$F$290,R82)</f>
        <v>24</v>
      </c>
      <c r="AI82"/>
      <c r="AM82" s="23"/>
      <c r="AN82" s="23"/>
      <c r="AO82" s="20"/>
      <c r="AP82" s="20"/>
    </row>
    <row r="83" spans="2:42" x14ac:dyDescent="0.25">
      <c r="B83" s="5" t="s">
        <v>23</v>
      </c>
      <c r="C83" s="5" t="s">
        <v>28</v>
      </c>
      <c r="D83" t="str">
        <f t="shared" si="29"/>
        <v>0409</v>
      </c>
      <c r="E83" s="5" t="s">
        <v>23</v>
      </c>
      <c r="F83" s="5" t="str">
        <f>VLOOKUP(E83,'Base Original'!$B$4:$C$16,2,0)</f>
        <v>ABA</v>
      </c>
      <c r="G83" s="5" t="str">
        <f t="shared" si="30"/>
        <v>A</v>
      </c>
      <c r="H83" s="5" t="str">
        <f t="shared" si="31"/>
        <v>B</v>
      </c>
      <c r="I83" s="5" t="str">
        <f t="shared" si="32"/>
        <v>A</v>
      </c>
      <c r="J83" s="5" t="str">
        <f t="shared" si="33"/>
        <v>AB</v>
      </c>
      <c r="K83" s="5" t="str">
        <f t="shared" si="34"/>
        <v>AA</v>
      </c>
      <c r="L83" s="5" t="str">
        <f t="shared" si="35"/>
        <v>BA</v>
      </c>
      <c r="M83">
        <v>26.51</v>
      </c>
      <c r="R83" t="s">
        <v>47</v>
      </c>
      <c r="S83">
        <f t="shared" si="42"/>
        <v>586.83000000000015</v>
      </c>
      <c r="T83">
        <f t="shared" si="43"/>
        <v>344369.44890000019</v>
      </c>
      <c r="U83">
        <f t="shared" si="44"/>
        <v>24</v>
      </c>
      <c r="AI83"/>
      <c r="AM83" s="23"/>
      <c r="AN83" s="23"/>
      <c r="AO83" s="20"/>
      <c r="AP83" s="20"/>
    </row>
    <row r="84" spans="2:42" x14ac:dyDescent="0.25">
      <c r="B84" s="5" t="s">
        <v>23</v>
      </c>
      <c r="C84" s="5">
        <v>10</v>
      </c>
      <c r="D84" t="str">
        <f t="shared" si="29"/>
        <v>0410</v>
      </c>
      <c r="E84" s="5" t="s">
        <v>25</v>
      </c>
      <c r="F84" s="5" t="str">
        <f>VLOOKUP(E84,'Base Original'!$B$4:$C$16,2,0)</f>
        <v>CBA</v>
      </c>
      <c r="G84" s="5" t="str">
        <f t="shared" si="30"/>
        <v>C</v>
      </c>
      <c r="H84" s="5" t="str">
        <f t="shared" si="31"/>
        <v>B</v>
      </c>
      <c r="I84" s="5" t="str">
        <f t="shared" si="32"/>
        <v>A</v>
      </c>
      <c r="J84" s="5" t="str">
        <f t="shared" si="33"/>
        <v>CB</v>
      </c>
      <c r="K84" s="5" t="str">
        <f t="shared" si="34"/>
        <v>CA</v>
      </c>
      <c r="L84" s="5" t="str">
        <f t="shared" si="35"/>
        <v>BA</v>
      </c>
      <c r="M84">
        <v>24.5</v>
      </c>
      <c r="R84" t="s">
        <v>50</v>
      </c>
      <c r="S84">
        <f t="shared" si="42"/>
        <v>586.78</v>
      </c>
      <c r="T84">
        <f t="shared" si="43"/>
        <v>344310.76839999994</v>
      </c>
      <c r="U84">
        <f t="shared" si="44"/>
        <v>24</v>
      </c>
      <c r="AI84"/>
      <c r="AM84" s="23"/>
      <c r="AN84" s="23"/>
      <c r="AO84" s="20"/>
      <c r="AP84" s="20"/>
    </row>
    <row r="85" spans="2:42" x14ac:dyDescent="0.25">
      <c r="B85" s="5" t="s">
        <v>23</v>
      </c>
      <c r="C85" s="5">
        <v>11</v>
      </c>
      <c r="D85" t="str">
        <f t="shared" si="29"/>
        <v>0411</v>
      </c>
      <c r="E85" s="5" t="s">
        <v>21</v>
      </c>
      <c r="F85" s="5" t="str">
        <f>VLOOKUP(E85,'Base Original'!$B$4:$C$16,2,0)</f>
        <v>BAA</v>
      </c>
      <c r="G85" s="5" t="str">
        <f t="shared" si="30"/>
        <v>B</v>
      </c>
      <c r="H85" s="5" t="str">
        <f t="shared" si="31"/>
        <v>A</v>
      </c>
      <c r="I85" s="5" t="str">
        <f t="shared" si="32"/>
        <v>A</v>
      </c>
      <c r="J85" s="5" t="str">
        <f t="shared" si="33"/>
        <v>BA</v>
      </c>
      <c r="K85" s="5" t="str">
        <f t="shared" si="34"/>
        <v>BA</v>
      </c>
      <c r="L85" s="5" t="str">
        <f t="shared" si="35"/>
        <v>AA</v>
      </c>
      <c r="M85">
        <v>25.94</v>
      </c>
      <c r="R85" t="s">
        <v>43</v>
      </c>
      <c r="S85">
        <f t="shared" si="42"/>
        <v>571.04000000000008</v>
      </c>
      <c r="T85">
        <f t="shared" si="43"/>
        <v>326086.68160000007</v>
      </c>
      <c r="U85">
        <f t="shared" si="44"/>
        <v>24</v>
      </c>
      <c r="AI85"/>
      <c r="AM85" s="23"/>
      <c r="AN85" s="23"/>
      <c r="AO85" s="20"/>
      <c r="AP85" s="20"/>
    </row>
    <row r="86" spans="2:42" x14ac:dyDescent="0.25">
      <c r="B86" s="5" t="s">
        <v>23</v>
      </c>
      <c r="C86" s="5">
        <v>12</v>
      </c>
      <c r="D86" t="str">
        <f t="shared" si="29"/>
        <v>0412</v>
      </c>
      <c r="E86" s="5">
        <v>12</v>
      </c>
      <c r="F86" s="5" t="str">
        <f>VLOOKUP(E86,'Base Original'!$B$4:$C$16,2,0)</f>
        <v>CAB</v>
      </c>
      <c r="G86" s="5" t="str">
        <f t="shared" si="30"/>
        <v>C</v>
      </c>
      <c r="H86" s="5" t="str">
        <f t="shared" si="31"/>
        <v>A</v>
      </c>
      <c r="I86" s="5" t="str">
        <f t="shared" si="32"/>
        <v>B</v>
      </c>
      <c r="J86" s="5" t="str">
        <f t="shared" si="33"/>
        <v>CA</v>
      </c>
      <c r="K86" s="5" t="str">
        <f t="shared" si="34"/>
        <v>CB</v>
      </c>
      <c r="L86" s="5" t="str">
        <f t="shared" si="35"/>
        <v>AB</v>
      </c>
      <c r="M86">
        <v>24.08</v>
      </c>
      <c r="R86" t="s">
        <v>45</v>
      </c>
      <c r="S86">
        <f t="shared" si="42"/>
        <v>597.39</v>
      </c>
      <c r="T86">
        <f t="shared" si="43"/>
        <v>356874.81209999998</v>
      </c>
      <c r="U86">
        <f t="shared" si="44"/>
        <v>24</v>
      </c>
      <c r="AI86"/>
      <c r="AM86" s="23"/>
      <c r="AN86" s="23"/>
      <c r="AO86" s="20"/>
      <c r="AP86" s="20"/>
    </row>
    <row r="87" spans="2:42" x14ac:dyDescent="0.25">
      <c r="B87" s="5" t="s">
        <v>23</v>
      </c>
      <c r="C87" s="5" t="s">
        <v>20</v>
      </c>
      <c r="D87" t="str">
        <f t="shared" si="29"/>
        <v>0401</v>
      </c>
      <c r="E87" s="5" t="s">
        <v>22</v>
      </c>
      <c r="F87" s="5" t="str">
        <f>VLOOKUP(E87,'Base Original'!$B$4:$C$16,2,0)</f>
        <v>CAA</v>
      </c>
      <c r="G87" s="5" t="str">
        <f t="shared" si="30"/>
        <v>C</v>
      </c>
      <c r="H87" s="5" t="str">
        <f t="shared" si="31"/>
        <v>A</v>
      </c>
      <c r="I87" s="5" t="str">
        <f t="shared" si="32"/>
        <v>A</v>
      </c>
      <c r="J87" s="5" t="str">
        <f t="shared" si="33"/>
        <v>CA</v>
      </c>
      <c r="K87" s="5" t="str">
        <f t="shared" si="34"/>
        <v>CA</v>
      </c>
      <c r="L87" s="5" t="str">
        <f t="shared" si="35"/>
        <v>AA</v>
      </c>
      <c r="M87">
        <v>24.59</v>
      </c>
      <c r="R87" t="s">
        <v>53</v>
      </c>
      <c r="S87">
        <f t="shared" si="42"/>
        <v>576.59999999999991</v>
      </c>
      <c r="T87">
        <f t="shared" si="43"/>
        <v>332467.55999999988</v>
      </c>
      <c r="U87">
        <f t="shared" si="44"/>
        <v>24</v>
      </c>
      <c r="AI87"/>
      <c r="AM87" s="23"/>
      <c r="AN87" s="23"/>
      <c r="AO87" s="20"/>
      <c r="AP87" s="20"/>
    </row>
    <row r="88" spans="2:42" x14ac:dyDescent="0.25">
      <c r="B88" s="5" t="s">
        <v>23</v>
      </c>
      <c r="C88" s="5" t="s">
        <v>21</v>
      </c>
      <c r="D88" t="str">
        <f t="shared" si="29"/>
        <v>0402</v>
      </c>
      <c r="E88" s="5" t="s">
        <v>28</v>
      </c>
      <c r="F88" s="5" t="str">
        <f>VLOOKUP(E88,'Base Original'!$B$4:$C$16,2,0)</f>
        <v>CBB</v>
      </c>
      <c r="G88" s="5" t="str">
        <f t="shared" si="30"/>
        <v>C</v>
      </c>
      <c r="H88" s="5" t="str">
        <f t="shared" si="31"/>
        <v>B</v>
      </c>
      <c r="I88" s="5" t="str">
        <f t="shared" si="32"/>
        <v>B</v>
      </c>
      <c r="J88" s="5" t="str">
        <f t="shared" si="33"/>
        <v>CB</v>
      </c>
      <c r="K88" s="5" t="str">
        <f t="shared" si="34"/>
        <v>CB</v>
      </c>
      <c r="L88" s="5" t="str">
        <f t="shared" si="35"/>
        <v>BB</v>
      </c>
      <c r="M88">
        <v>24.04</v>
      </c>
      <c r="R88" t="s">
        <v>46</v>
      </c>
      <c r="S88">
        <f t="shared" si="42"/>
        <v>584.75</v>
      </c>
      <c r="T88">
        <f t="shared" si="43"/>
        <v>341932.5625</v>
      </c>
      <c r="U88">
        <f t="shared" si="44"/>
        <v>24</v>
      </c>
      <c r="AI88"/>
      <c r="AM88" s="23"/>
      <c r="AN88" s="23"/>
      <c r="AO88" s="20"/>
      <c r="AP88" s="20"/>
    </row>
    <row r="89" spans="2:42" x14ac:dyDescent="0.25">
      <c r="B89" s="5" t="s">
        <v>23</v>
      </c>
      <c r="C89" s="5" t="s">
        <v>22</v>
      </c>
      <c r="D89" t="str">
        <f t="shared" si="29"/>
        <v>0403</v>
      </c>
      <c r="E89" s="5">
        <v>11</v>
      </c>
      <c r="F89" s="5" t="str">
        <f>VLOOKUP(E89,'Base Original'!$B$4:$C$16,2,0)</f>
        <v>BAB</v>
      </c>
      <c r="G89" s="5" t="str">
        <f t="shared" si="30"/>
        <v>B</v>
      </c>
      <c r="H89" s="5" t="str">
        <f t="shared" si="31"/>
        <v>A</v>
      </c>
      <c r="I89" s="5" t="str">
        <f t="shared" si="32"/>
        <v>B</v>
      </c>
      <c r="J89" s="5" t="str">
        <f t="shared" si="33"/>
        <v>BA</v>
      </c>
      <c r="K89" s="5" t="str">
        <f t="shared" si="34"/>
        <v>BB</v>
      </c>
      <c r="L89" s="5" t="str">
        <f t="shared" si="35"/>
        <v>AB</v>
      </c>
      <c r="M89">
        <v>23.42</v>
      </c>
      <c r="R89" t="s">
        <v>49</v>
      </c>
      <c r="S89">
        <f t="shared" si="42"/>
        <v>568.07000000000005</v>
      </c>
      <c r="T89">
        <f t="shared" si="43"/>
        <v>322703.52490000008</v>
      </c>
      <c r="U89">
        <f t="shared" si="44"/>
        <v>24</v>
      </c>
      <c r="AI89"/>
      <c r="AM89" s="23"/>
      <c r="AN89" s="23"/>
      <c r="AO89" s="20"/>
      <c r="AP89" s="20"/>
    </row>
    <row r="90" spans="2:42" x14ac:dyDescent="0.25">
      <c r="B90" s="5" t="s">
        <v>23</v>
      </c>
      <c r="C90" s="5" t="s">
        <v>23</v>
      </c>
      <c r="D90" t="str">
        <f t="shared" si="29"/>
        <v>0404</v>
      </c>
      <c r="E90" s="5" t="s">
        <v>26</v>
      </c>
      <c r="F90" s="5" t="str">
        <f>VLOOKUP(E90,'Base Original'!$B$4:$C$16,2,0)</f>
        <v>ABB</v>
      </c>
      <c r="G90" s="5" t="str">
        <f t="shared" si="30"/>
        <v>A</v>
      </c>
      <c r="H90" s="5" t="str">
        <f t="shared" si="31"/>
        <v>B</v>
      </c>
      <c r="I90" s="5" t="str">
        <f t="shared" si="32"/>
        <v>B</v>
      </c>
      <c r="J90" s="5" t="str">
        <f t="shared" si="33"/>
        <v>AB</v>
      </c>
      <c r="K90" s="5" t="str">
        <f t="shared" si="34"/>
        <v>AB</v>
      </c>
      <c r="L90" s="5" t="str">
        <f t="shared" si="35"/>
        <v>BB</v>
      </c>
      <c r="M90">
        <v>23.33</v>
      </c>
      <c r="R90" t="s">
        <v>41</v>
      </c>
      <c r="S90">
        <f t="shared" si="42"/>
        <v>587.72999999999979</v>
      </c>
      <c r="T90">
        <f t="shared" si="43"/>
        <v>345426.55289999978</v>
      </c>
      <c r="U90">
        <f t="shared" si="44"/>
        <v>24</v>
      </c>
      <c r="AI90"/>
      <c r="AM90" s="23"/>
      <c r="AN90" s="23"/>
      <c r="AO90" s="20"/>
      <c r="AP90" s="20"/>
    </row>
    <row r="91" spans="2:42" x14ac:dyDescent="0.25">
      <c r="B91" s="5" t="s">
        <v>23</v>
      </c>
      <c r="C91" s="5" t="s">
        <v>24</v>
      </c>
      <c r="D91" t="str">
        <f t="shared" si="29"/>
        <v>0405</v>
      </c>
      <c r="E91" s="5" t="s">
        <v>24</v>
      </c>
      <c r="F91" s="5" t="str">
        <f>VLOOKUP(E91,'Base Original'!$B$4:$C$16,2,0)</f>
        <v>BBA</v>
      </c>
      <c r="G91" s="5" t="str">
        <f t="shared" si="30"/>
        <v>B</v>
      </c>
      <c r="H91" s="5" t="str">
        <f t="shared" si="31"/>
        <v>B</v>
      </c>
      <c r="I91" s="5" t="str">
        <f t="shared" si="32"/>
        <v>A</v>
      </c>
      <c r="J91" s="5" t="str">
        <f t="shared" si="33"/>
        <v>BB</v>
      </c>
      <c r="K91" s="5" t="str">
        <f t="shared" si="34"/>
        <v>BA</v>
      </c>
      <c r="L91" s="5" t="str">
        <f t="shared" si="35"/>
        <v>BA</v>
      </c>
      <c r="M91">
        <v>24.37</v>
      </c>
      <c r="R91" t="s">
        <v>39</v>
      </c>
      <c r="S91">
        <f t="shared" si="42"/>
        <v>599.38000000000011</v>
      </c>
      <c r="T91">
        <f t="shared" si="43"/>
        <v>359256.38440000016</v>
      </c>
      <c r="U91">
        <f t="shared" si="44"/>
        <v>24</v>
      </c>
      <c r="AI91"/>
      <c r="AM91" s="23"/>
      <c r="AN91" s="23"/>
      <c r="AO91" s="20"/>
      <c r="AP91" s="20"/>
    </row>
    <row r="92" spans="2:42" x14ac:dyDescent="0.25">
      <c r="B92" s="5" t="s">
        <v>23</v>
      </c>
      <c r="C92" s="5" t="s">
        <v>25</v>
      </c>
      <c r="D92" t="str">
        <f t="shared" si="29"/>
        <v>0406</v>
      </c>
      <c r="E92" s="5" t="s">
        <v>20</v>
      </c>
      <c r="F92" s="5" t="str">
        <f>VLOOKUP(E92,'Base Original'!$B$4:$C$16,2,0)</f>
        <v>AAA</v>
      </c>
      <c r="G92" s="5" t="str">
        <f t="shared" si="30"/>
        <v>A</v>
      </c>
      <c r="H92" s="5" t="str">
        <f t="shared" si="31"/>
        <v>A</v>
      </c>
      <c r="I92" s="5" t="str">
        <f t="shared" si="32"/>
        <v>A</v>
      </c>
      <c r="J92" s="5" t="str">
        <f t="shared" si="33"/>
        <v>AA</v>
      </c>
      <c r="K92" s="5" t="str">
        <f t="shared" si="34"/>
        <v>AA</v>
      </c>
      <c r="L92" s="5" t="str">
        <f t="shared" si="35"/>
        <v>AA</v>
      </c>
      <c r="M92">
        <v>24.16</v>
      </c>
      <c r="R92" t="s">
        <v>52</v>
      </c>
      <c r="S92">
        <f t="shared" si="42"/>
        <v>577.87</v>
      </c>
      <c r="T92">
        <f t="shared" si="43"/>
        <v>333933.73690000002</v>
      </c>
      <c r="U92">
        <f t="shared" si="44"/>
        <v>24</v>
      </c>
      <c r="AI92"/>
      <c r="AM92" s="23"/>
      <c r="AN92" s="23"/>
      <c r="AO92" s="20"/>
      <c r="AP92" s="20"/>
    </row>
    <row r="93" spans="2:42" x14ac:dyDescent="0.25">
      <c r="B93" s="5" t="s">
        <v>23</v>
      </c>
      <c r="C93" s="5" t="s">
        <v>26</v>
      </c>
      <c r="D93" t="str">
        <f t="shared" si="29"/>
        <v>0407</v>
      </c>
      <c r="E93" s="5" t="s">
        <v>27</v>
      </c>
      <c r="F93" s="5" t="str">
        <f>VLOOKUP(E93,'Base Original'!$B$4:$C$16,2,0)</f>
        <v>BBB</v>
      </c>
      <c r="G93" s="5" t="str">
        <f t="shared" si="30"/>
        <v>B</v>
      </c>
      <c r="H93" s="5" t="str">
        <f t="shared" si="31"/>
        <v>B</v>
      </c>
      <c r="I93" s="5" t="str">
        <f t="shared" si="32"/>
        <v>B</v>
      </c>
      <c r="J93" s="5" t="str">
        <f t="shared" si="33"/>
        <v>BB</v>
      </c>
      <c r="K93" s="5" t="str">
        <f t="shared" si="34"/>
        <v>BB</v>
      </c>
      <c r="L93" s="5" t="str">
        <f t="shared" si="35"/>
        <v>BB</v>
      </c>
      <c r="M93">
        <v>23.61</v>
      </c>
      <c r="R93" s="3"/>
      <c r="S93" s="3"/>
      <c r="T93" s="3"/>
      <c r="U93" s="3"/>
      <c r="AI93"/>
      <c r="AM93" s="23"/>
      <c r="AN93" s="23"/>
      <c r="AO93" s="20"/>
      <c r="AP93" s="20"/>
    </row>
    <row r="94" spans="2:42" x14ac:dyDescent="0.25">
      <c r="B94" s="5" t="s">
        <v>23</v>
      </c>
      <c r="C94" s="5" t="s">
        <v>27</v>
      </c>
      <c r="D94" t="str">
        <f t="shared" si="29"/>
        <v>0408</v>
      </c>
      <c r="E94" s="5">
        <v>10</v>
      </c>
      <c r="F94" s="5" t="str">
        <f>VLOOKUP(E94,'Base Original'!$B$4:$C$16,2,0)</f>
        <v>AAB</v>
      </c>
      <c r="G94" s="5" t="str">
        <f t="shared" si="30"/>
        <v>A</v>
      </c>
      <c r="H94" s="5" t="str">
        <f t="shared" si="31"/>
        <v>A</v>
      </c>
      <c r="I94" s="5" t="str">
        <f t="shared" si="32"/>
        <v>B</v>
      </c>
      <c r="J94" s="5" t="str">
        <f t="shared" si="33"/>
        <v>AA</v>
      </c>
      <c r="K94" s="5" t="str">
        <f t="shared" si="34"/>
        <v>AB</v>
      </c>
      <c r="L94" s="5" t="str">
        <f t="shared" si="35"/>
        <v>AB</v>
      </c>
      <c r="M94">
        <v>23.4</v>
      </c>
      <c r="R94" t="s">
        <v>29</v>
      </c>
      <c r="AI94"/>
      <c r="AM94" s="23"/>
      <c r="AN94" s="23"/>
      <c r="AO94" s="20"/>
      <c r="AP94" s="20"/>
    </row>
    <row r="95" spans="2:42" x14ac:dyDescent="0.25">
      <c r="B95" s="5" t="s">
        <v>23</v>
      </c>
      <c r="C95" s="5" t="s">
        <v>28</v>
      </c>
      <c r="D95" t="str">
        <f t="shared" si="29"/>
        <v>0409</v>
      </c>
      <c r="E95" s="5" t="s">
        <v>23</v>
      </c>
      <c r="F95" s="5" t="str">
        <f>VLOOKUP(E95,'Base Original'!$B$4:$C$16,2,0)</f>
        <v>ABA</v>
      </c>
      <c r="G95" s="5" t="str">
        <f t="shared" si="30"/>
        <v>A</v>
      </c>
      <c r="H95" s="5" t="str">
        <f t="shared" si="31"/>
        <v>B</v>
      </c>
      <c r="I95" s="5" t="str">
        <f t="shared" si="32"/>
        <v>A</v>
      </c>
      <c r="J95" s="5" t="str">
        <f t="shared" si="33"/>
        <v>AB</v>
      </c>
      <c r="K95" s="5" t="str">
        <f t="shared" si="34"/>
        <v>AA</v>
      </c>
      <c r="L95" s="5" t="str">
        <f t="shared" si="35"/>
        <v>BA</v>
      </c>
      <c r="M95">
        <v>25.25</v>
      </c>
      <c r="R95" s="4">
        <f>(M3-AVERAGE($M$3:$M$290))^2</f>
        <v>2.4973875976562101</v>
      </c>
      <c r="AI95"/>
      <c r="AM95" s="23"/>
      <c r="AN95" s="23"/>
      <c r="AO95" s="20"/>
      <c r="AP95" s="20"/>
    </row>
    <row r="96" spans="2:42" x14ac:dyDescent="0.25">
      <c r="B96" s="5" t="s">
        <v>23</v>
      </c>
      <c r="C96" s="5">
        <v>10</v>
      </c>
      <c r="D96" t="str">
        <f t="shared" si="29"/>
        <v>0410</v>
      </c>
      <c r="E96" s="5" t="s">
        <v>25</v>
      </c>
      <c r="F96" s="5" t="str">
        <f>VLOOKUP(E96,'Base Original'!$B$4:$C$16,2,0)</f>
        <v>CBA</v>
      </c>
      <c r="G96" s="5" t="str">
        <f t="shared" si="30"/>
        <v>C</v>
      </c>
      <c r="H96" s="5" t="str">
        <f t="shared" si="31"/>
        <v>B</v>
      </c>
      <c r="I96" s="5" t="str">
        <f t="shared" si="32"/>
        <v>A</v>
      </c>
      <c r="J96" s="5" t="str">
        <f t="shared" si="33"/>
        <v>CB</v>
      </c>
      <c r="K96" s="5" t="str">
        <f t="shared" si="34"/>
        <v>CA</v>
      </c>
      <c r="L96" s="5" t="str">
        <f t="shared" si="35"/>
        <v>BA</v>
      </c>
      <c r="M96">
        <v>24.71</v>
      </c>
      <c r="R96" s="4">
        <f>(M4-AVERAGE($M$3:$M$290))^2</f>
        <v>0.27072509765623815</v>
      </c>
      <c r="AI96"/>
      <c r="AM96" s="23"/>
      <c r="AN96" s="23"/>
      <c r="AO96" s="20"/>
      <c r="AP96" s="20"/>
    </row>
    <row r="97" spans="2:42" x14ac:dyDescent="0.25">
      <c r="B97" s="5" t="s">
        <v>23</v>
      </c>
      <c r="C97" s="5">
        <v>11</v>
      </c>
      <c r="D97" t="str">
        <f t="shared" si="29"/>
        <v>0411</v>
      </c>
      <c r="E97" s="5" t="s">
        <v>21</v>
      </c>
      <c r="F97" s="5" t="str">
        <f>VLOOKUP(E97,'Base Original'!$B$4:$C$16,2,0)</f>
        <v>BAA</v>
      </c>
      <c r="G97" s="5" t="str">
        <f t="shared" si="30"/>
        <v>B</v>
      </c>
      <c r="H97" s="5" t="str">
        <f t="shared" si="31"/>
        <v>A</v>
      </c>
      <c r="I97" s="5" t="str">
        <f t="shared" si="32"/>
        <v>A</v>
      </c>
      <c r="J97" s="5" t="str">
        <f t="shared" si="33"/>
        <v>BA</v>
      </c>
      <c r="K97" s="5" t="str">
        <f t="shared" si="34"/>
        <v>BA</v>
      </c>
      <c r="L97" s="5" t="str">
        <f t="shared" si="35"/>
        <v>AA</v>
      </c>
      <c r="M97">
        <v>24.58</v>
      </c>
      <c r="R97" s="4">
        <f>(M5-AVERAGE($M$3:$M$290))^2</f>
        <v>5.2756347656255226E-2</v>
      </c>
      <c r="AI97"/>
      <c r="AM97" s="23"/>
      <c r="AN97" s="23"/>
      <c r="AO97" s="20"/>
      <c r="AP97" s="20"/>
    </row>
    <row r="98" spans="2:42" x14ac:dyDescent="0.25">
      <c r="B98" s="5" t="s">
        <v>23</v>
      </c>
      <c r="C98" s="5">
        <v>12</v>
      </c>
      <c r="D98" t="str">
        <f t="shared" si="29"/>
        <v>0412</v>
      </c>
      <c r="E98" s="5">
        <v>12</v>
      </c>
      <c r="F98" s="5" t="str">
        <f>VLOOKUP(E98,'Base Original'!$B$4:$C$16,2,0)</f>
        <v>CAB</v>
      </c>
      <c r="G98" s="5" t="str">
        <f t="shared" si="30"/>
        <v>C</v>
      </c>
      <c r="H98" s="5" t="str">
        <f t="shared" si="31"/>
        <v>A</v>
      </c>
      <c r="I98" s="5" t="str">
        <f t="shared" si="32"/>
        <v>B</v>
      </c>
      <c r="J98" s="5" t="str">
        <f t="shared" si="33"/>
        <v>CA</v>
      </c>
      <c r="K98" s="5" t="str">
        <f t="shared" si="34"/>
        <v>CB</v>
      </c>
      <c r="L98" s="5" t="str">
        <f t="shared" si="35"/>
        <v>AB</v>
      </c>
      <c r="M98">
        <v>25.75</v>
      </c>
      <c r="R98" s="4">
        <f>(M6-AVERAGE($M$3:$M$290))^2</f>
        <v>2.0440063476562806</v>
      </c>
      <c r="AI98"/>
      <c r="AM98" s="23"/>
      <c r="AN98" s="23"/>
      <c r="AO98" s="20"/>
      <c r="AP98" s="20"/>
    </row>
    <row r="99" spans="2:42" x14ac:dyDescent="0.25">
      <c r="B99" s="5" t="s">
        <v>24</v>
      </c>
      <c r="C99" s="5" t="s">
        <v>20</v>
      </c>
      <c r="D99" t="str">
        <f t="shared" si="29"/>
        <v>0501</v>
      </c>
      <c r="E99" s="5" t="s">
        <v>21</v>
      </c>
      <c r="F99" s="5" t="str">
        <f>VLOOKUP(E99,'Base Original'!$B$4:$C$16,2,0)</f>
        <v>BAA</v>
      </c>
      <c r="G99" s="5" t="str">
        <f t="shared" si="30"/>
        <v>B</v>
      </c>
      <c r="H99" s="5" t="str">
        <f t="shared" si="31"/>
        <v>A</v>
      </c>
      <c r="I99" s="5" t="str">
        <f t="shared" si="32"/>
        <v>A</v>
      </c>
      <c r="J99" s="5" t="str">
        <f t="shared" si="33"/>
        <v>BA</v>
      </c>
      <c r="K99" s="5" t="str">
        <f t="shared" si="34"/>
        <v>BA</v>
      </c>
      <c r="L99" s="5" t="str">
        <f t="shared" si="35"/>
        <v>AA</v>
      </c>
      <c r="M99">
        <v>24.57</v>
      </c>
      <c r="R99" s="4">
        <f>(M7-AVERAGE($M$3:$M$290))^2</f>
        <v>1.0822500976562255</v>
      </c>
      <c r="AI99"/>
      <c r="AM99" s="23"/>
      <c r="AN99" s="23"/>
      <c r="AO99" s="20"/>
      <c r="AP99" s="20"/>
    </row>
    <row r="100" spans="2:42" x14ac:dyDescent="0.25">
      <c r="B100" s="5" t="s">
        <v>24</v>
      </c>
      <c r="C100" s="5" t="s">
        <v>21</v>
      </c>
      <c r="D100" t="str">
        <f t="shared" si="29"/>
        <v>0502</v>
      </c>
      <c r="E100" s="5">
        <v>10</v>
      </c>
      <c r="F100" s="5" t="str">
        <f>VLOOKUP(E100,'Base Original'!$B$4:$C$16,2,0)</f>
        <v>AAB</v>
      </c>
      <c r="G100" s="5" t="str">
        <f t="shared" si="30"/>
        <v>A</v>
      </c>
      <c r="H100" s="5" t="str">
        <f t="shared" si="31"/>
        <v>A</v>
      </c>
      <c r="I100" s="5" t="str">
        <f t="shared" si="32"/>
        <v>B</v>
      </c>
      <c r="J100" s="5" t="str">
        <f t="shared" si="33"/>
        <v>AA</v>
      </c>
      <c r="K100" s="5" t="str">
        <f t="shared" si="34"/>
        <v>AB</v>
      </c>
      <c r="L100" s="5" t="str">
        <f t="shared" si="35"/>
        <v>AB</v>
      </c>
      <c r="M100">
        <v>24.55</v>
      </c>
      <c r="R100" s="4">
        <f>(M8-AVERAGE($M$3:$M$290))^2</f>
        <v>2.9230313476562904</v>
      </c>
      <c r="AI100"/>
      <c r="AM100" s="23"/>
      <c r="AN100" s="23"/>
      <c r="AO100" s="20"/>
      <c r="AP100" s="20"/>
    </row>
    <row r="101" spans="2:42" x14ac:dyDescent="0.25">
      <c r="B101" s="5" t="s">
        <v>24</v>
      </c>
      <c r="C101" s="5" t="s">
        <v>22</v>
      </c>
      <c r="D101" t="str">
        <f t="shared" si="29"/>
        <v>0503</v>
      </c>
      <c r="E101" s="5" t="s">
        <v>26</v>
      </c>
      <c r="F101" s="5" t="str">
        <f>VLOOKUP(E101,'Base Original'!$B$4:$C$16,2,0)</f>
        <v>ABB</v>
      </c>
      <c r="G101" s="5" t="str">
        <f t="shared" si="30"/>
        <v>A</v>
      </c>
      <c r="H101" s="5" t="str">
        <f t="shared" si="31"/>
        <v>B</v>
      </c>
      <c r="I101" s="5" t="str">
        <f t="shared" si="32"/>
        <v>B</v>
      </c>
      <c r="J101" s="5" t="str">
        <f t="shared" si="33"/>
        <v>AB</v>
      </c>
      <c r="K101" s="5" t="str">
        <f t="shared" si="34"/>
        <v>AB</v>
      </c>
      <c r="L101" s="5" t="str">
        <f t="shared" si="35"/>
        <v>BB</v>
      </c>
      <c r="M101">
        <v>25.24</v>
      </c>
      <c r="R101" s="4">
        <f>(M9-AVERAGE($M$3:$M$290))^2</f>
        <v>2.8550438476562912</v>
      </c>
      <c r="AI101"/>
      <c r="AM101" s="23"/>
      <c r="AN101" s="23"/>
      <c r="AO101" s="20"/>
      <c r="AP101" s="20"/>
    </row>
    <row r="102" spans="2:42" x14ac:dyDescent="0.25">
      <c r="B102" s="5" t="s">
        <v>24</v>
      </c>
      <c r="C102" s="5" t="s">
        <v>23</v>
      </c>
      <c r="D102" t="str">
        <f t="shared" si="29"/>
        <v>0504</v>
      </c>
      <c r="E102" s="5" t="s">
        <v>20</v>
      </c>
      <c r="F102" s="5" t="str">
        <f>VLOOKUP(E102,'Base Original'!$B$4:$C$16,2,0)</f>
        <v>AAA</v>
      </c>
      <c r="G102" s="5" t="str">
        <f t="shared" si="30"/>
        <v>A</v>
      </c>
      <c r="H102" s="5" t="str">
        <f t="shared" si="31"/>
        <v>A</v>
      </c>
      <c r="I102" s="5" t="str">
        <f t="shared" si="32"/>
        <v>A</v>
      </c>
      <c r="J102" s="5" t="str">
        <f t="shared" si="33"/>
        <v>AA</v>
      </c>
      <c r="K102" s="5" t="str">
        <f t="shared" si="34"/>
        <v>AA</v>
      </c>
      <c r="L102" s="5" t="str">
        <f t="shared" si="35"/>
        <v>AA</v>
      </c>
      <c r="M102">
        <v>24.64</v>
      </c>
      <c r="R102" s="4">
        <f>(M10-AVERAGE($M$3:$M$290))^2</f>
        <v>2.9230313476562904</v>
      </c>
      <c r="AI102"/>
      <c r="AM102" s="23"/>
      <c r="AN102" s="23"/>
      <c r="AO102" s="20"/>
      <c r="AP102" s="20"/>
    </row>
    <row r="103" spans="2:42" x14ac:dyDescent="0.25">
      <c r="B103" s="5" t="s">
        <v>24</v>
      </c>
      <c r="C103" s="5" t="s">
        <v>24</v>
      </c>
      <c r="D103" t="str">
        <f t="shared" si="29"/>
        <v>0505</v>
      </c>
      <c r="E103" s="5" t="s">
        <v>23</v>
      </c>
      <c r="F103" s="5" t="str">
        <f>VLOOKUP(E103,'Base Original'!$B$4:$C$16,2,0)</f>
        <v>ABA</v>
      </c>
      <c r="G103" s="5" t="str">
        <f t="shared" si="30"/>
        <v>A</v>
      </c>
      <c r="H103" s="5" t="str">
        <f t="shared" si="31"/>
        <v>B</v>
      </c>
      <c r="I103" s="5" t="str">
        <f t="shared" si="32"/>
        <v>A</v>
      </c>
      <c r="J103" s="5" t="str">
        <f t="shared" si="33"/>
        <v>AB</v>
      </c>
      <c r="K103" s="5" t="str">
        <f t="shared" si="34"/>
        <v>AA</v>
      </c>
      <c r="L103" s="5" t="str">
        <f t="shared" si="35"/>
        <v>BA</v>
      </c>
      <c r="M103">
        <v>23.42</v>
      </c>
      <c r="R103" s="4">
        <f>(M11-AVERAGE($M$3:$M$290))^2</f>
        <v>0.34773134765626273</v>
      </c>
      <c r="AI103"/>
      <c r="AM103" s="23"/>
      <c r="AN103" s="23"/>
      <c r="AO103" s="20"/>
      <c r="AP103" s="20"/>
    </row>
    <row r="104" spans="2:42" x14ac:dyDescent="0.25">
      <c r="B104" s="5" t="s">
        <v>24</v>
      </c>
      <c r="C104" s="5" t="s">
        <v>25</v>
      </c>
      <c r="D104" t="str">
        <f t="shared" si="29"/>
        <v>0506</v>
      </c>
      <c r="E104" s="5" t="s">
        <v>27</v>
      </c>
      <c r="F104" s="5" t="str">
        <f>VLOOKUP(E104,'Base Original'!$B$4:$C$16,2,0)</f>
        <v>BBB</v>
      </c>
      <c r="G104" s="5" t="str">
        <f t="shared" si="30"/>
        <v>B</v>
      </c>
      <c r="H104" s="5" t="str">
        <f t="shared" si="31"/>
        <v>B</v>
      </c>
      <c r="I104" s="5" t="str">
        <f t="shared" si="32"/>
        <v>B</v>
      </c>
      <c r="J104" s="5" t="str">
        <f t="shared" si="33"/>
        <v>BB</v>
      </c>
      <c r="K104" s="5" t="str">
        <f t="shared" si="34"/>
        <v>BB</v>
      </c>
      <c r="L104" s="5" t="str">
        <f t="shared" si="35"/>
        <v>BB</v>
      </c>
      <c r="M104">
        <v>24.15</v>
      </c>
      <c r="R104" s="4">
        <f>(M12-AVERAGE($M$3:$M$290))^2</f>
        <v>9.5906347656255983E-2</v>
      </c>
      <c r="AI104"/>
      <c r="AM104" s="23"/>
      <c r="AN104" s="23"/>
      <c r="AO104" s="20"/>
      <c r="AP104" s="20"/>
    </row>
    <row r="105" spans="2:42" x14ac:dyDescent="0.25">
      <c r="B105" s="5" t="s">
        <v>24</v>
      </c>
      <c r="C105" s="5" t="s">
        <v>26</v>
      </c>
      <c r="D105" t="str">
        <f t="shared" si="29"/>
        <v>0507</v>
      </c>
      <c r="E105" s="5" t="s">
        <v>24</v>
      </c>
      <c r="F105" s="5" t="str">
        <f>VLOOKUP(E105,'Base Original'!$B$4:$C$16,2,0)</f>
        <v>BBA</v>
      </c>
      <c r="G105" s="5" t="str">
        <f t="shared" si="30"/>
        <v>B</v>
      </c>
      <c r="H105" s="5" t="str">
        <f t="shared" si="31"/>
        <v>B</v>
      </c>
      <c r="I105" s="5" t="str">
        <f t="shared" si="32"/>
        <v>A</v>
      </c>
      <c r="J105" s="5" t="str">
        <f t="shared" si="33"/>
        <v>BB</v>
      </c>
      <c r="K105" s="5" t="str">
        <f t="shared" si="34"/>
        <v>BA</v>
      </c>
      <c r="L105" s="5" t="str">
        <f t="shared" si="35"/>
        <v>BA</v>
      </c>
      <c r="M105">
        <v>23.43</v>
      </c>
      <c r="R105" s="4">
        <f>(M13-AVERAGE($M$3:$M$290))^2</f>
        <v>1.0397625976562714</v>
      </c>
      <c r="AI105"/>
      <c r="AM105" s="23"/>
      <c r="AN105" s="23"/>
      <c r="AO105" s="20"/>
      <c r="AP105" s="20"/>
    </row>
    <row r="106" spans="2:42" x14ac:dyDescent="0.25">
      <c r="B106" s="5" t="s">
        <v>24</v>
      </c>
      <c r="C106" s="5" t="s">
        <v>27</v>
      </c>
      <c r="D106" t="str">
        <f t="shared" si="29"/>
        <v>0508</v>
      </c>
      <c r="E106" s="5">
        <v>12</v>
      </c>
      <c r="F106" s="5" t="str">
        <f>VLOOKUP(E106,'Base Original'!$B$4:$C$16,2,0)</f>
        <v>CAB</v>
      </c>
      <c r="G106" s="5" t="str">
        <f t="shared" si="30"/>
        <v>C</v>
      </c>
      <c r="H106" s="5" t="str">
        <f t="shared" si="31"/>
        <v>A</v>
      </c>
      <c r="I106" s="5" t="str">
        <f t="shared" si="32"/>
        <v>B</v>
      </c>
      <c r="J106" s="5" t="str">
        <f t="shared" si="33"/>
        <v>CA</v>
      </c>
      <c r="K106" s="5" t="str">
        <f t="shared" si="34"/>
        <v>CB</v>
      </c>
      <c r="L106" s="5" t="str">
        <f t="shared" si="35"/>
        <v>AB</v>
      </c>
      <c r="M106">
        <v>23.98</v>
      </c>
      <c r="R106" s="4">
        <f>(M14-AVERAGE($M$3:$M$290))^2</f>
        <v>0.41000009765623674</v>
      </c>
      <c r="AI106"/>
      <c r="AM106" s="23"/>
      <c r="AN106" s="23"/>
      <c r="AO106" s="20"/>
      <c r="AP106" s="20"/>
    </row>
    <row r="107" spans="2:42" x14ac:dyDescent="0.25">
      <c r="B107" s="5" t="s">
        <v>24</v>
      </c>
      <c r="C107" s="5" t="s">
        <v>28</v>
      </c>
      <c r="D107" t="str">
        <f t="shared" si="29"/>
        <v>0509</v>
      </c>
      <c r="E107" s="5" t="s">
        <v>25</v>
      </c>
      <c r="F107" s="5" t="str">
        <f>VLOOKUP(E107,'Base Original'!$B$4:$C$16,2,0)</f>
        <v>CBA</v>
      </c>
      <c r="G107" s="5" t="str">
        <f t="shared" si="30"/>
        <v>C</v>
      </c>
      <c r="H107" s="5" t="str">
        <f t="shared" si="31"/>
        <v>B</v>
      </c>
      <c r="I107" s="5" t="str">
        <f t="shared" si="32"/>
        <v>A</v>
      </c>
      <c r="J107" s="5" t="str">
        <f t="shared" si="33"/>
        <v>CB</v>
      </c>
      <c r="K107" s="5" t="str">
        <f t="shared" si="34"/>
        <v>CA</v>
      </c>
      <c r="L107" s="5" t="str">
        <f t="shared" si="35"/>
        <v>BA</v>
      </c>
      <c r="M107">
        <v>25.54</v>
      </c>
      <c r="R107" s="4">
        <f>(M15-AVERAGE($M$3:$M$290))^2</f>
        <v>1.6392000976562249</v>
      </c>
      <c r="AI107"/>
      <c r="AM107" s="23"/>
      <c r="AN107" s="23"/>
      <c r="AO107" s="20"/>
      <c r="AP107" s="20"/>
    </row>
    <row r="108" spans="2:42" x14ac:dyDescent="0.25">
      <c r="B108" s="5" t="s">
        <v>24</v>
      </c>
      <c r="C108" s="5">
        <v>10</v>
      </c>
      <c r="D108" t="str">
        <f t="shared" si="29"/>
        <v>0510</v>
      </c>
      <c r="E108" s="5">
        <v>11</v>
      </c>
      <c r="F108" s="5" t="str">
        <f>VLOOKUP(E108,'Base Original'!$B$4:$C$16,2,0)</f>
        <v>BAB</v>
      </c>
      <c r="G108" s="5" t="str">
        <f t="shared" si="30"/>
        <v>B</v>
      </c>
      <c r="H108" s="5" t="str">
        <f t="shared" si="31"/>
        <v>A</v>
      </c>
      <c r="I108" s="5" t="str">
        <f t="shared" si="32"/>
        <v>B</v>
      </c>
      <c r="J108" s="5" t="str">
        <f t="shared" si="33"/>
        <v>BA</v>
      </c>
      <c r="K108" s="5" t="str">
        <f t="shared" si="34"/>
        <v>BB</v>
      </c>
      <c r="L108" s="5" t="str">
        <f t="shared" si="35"/>
        <v>AB</v>
      </c>
      <c r="M108">
        <v>25.23</v>
      </c>
      <c r="R108" s="4">
        <f>(M16-AVERAGE($M$3:$M$290))^2</f>
        <v>0.47653134765623667</v>
      </c>
      <c r="AI108"/>
      <c r="AM108" s="23"/>
      <c r="AN108" s="23"/>
      <c r="AO108" s="20"/>
      <c r="AP108" s="20"/>
    </row>
    <row r="109" spans="2:42" x14ac:dyDescent="0.25">
      <c r="B109" s="5" t="s">
        <v>24</v>
      </c>
      <c r="C109" s="5">
        <v>11</v>
      </c>
      <c r="D109" t="str">
        <f t="shared" si="29"/>
        <v>0511</v>
      </c>
      <c r="E109" s="5" t="s">
        <v>22</v>
      </c>
      <c r="F109" s="5" t="str">
        <f>VLOOKUP(E109,'Base Original'!$B$4:$C$16,2,0)</f>
        <v>CAA</v>
      </c>
      <c r="G109" s="5" t="str">
        <f t="shared" si="30"/>
        <v>C</v>
      </c>
      <c r="H109" s="5" t="str">
        <f t="shared" si="31"/>
        <v>A</v>
      </c>
      <c r="I109" s="5" t="str">
        <f t="shared" si="32"/>
        <v>A</v>
      </c>
      <c r="J109" s="5" t="str">
        <f t="shared" si="33"/>
        <v>CA</v>
      </c>
      <c r="K109" s="5" t="str">
        <f t="shared" si="34"/>
        <v>CA</v>
      </c>
      <c r="L109" s="5" t="str">
        <f t="shared" si="35"/>
        <v>AA</v>
      </c>
      <c r="M109">
        <v>23.44</v>
      </c>
      <c r="R109" s="4">
        <f>(M17-AVERAGE($M$3:$M$290))^2</f>
        <v>1.7415750976562796</v>
      </c>
      <c r="AI109"/>
      <c r="AM109" s="23"/>
      <c r="AN109" s="23"/>
      <c r="AO109" s="20"/>
      <c r="AP109" s="20"/>
    </row>
    <row r="110" spans="2:42" x14ac:dyDescent="0.25">
      <c r="B110" s="5" t="s">
        <v>24</v>
      </c>
      <c r="C110" s="5">
        <v>12</v>
      </c>
      <c r="D110" t="str">
        <f t="shared" si="29"/>
        <v>0512</v>
      </c>
      <c r="E110" s="5" t="s">
        <v>28</v>
      </c>
      <c r="F110" s="5" t="str">
        <f>VLOOKUP(E110,'Base Original'!$B$4:$C$16,2,0)</f>
        <v>CBB</v>
      </c>
      <c r="G110" s="5" t="str">
        <f t="shared" si="30"/>
        <v>C</v>
      </c>
      <c r="H110" s="5" t="str">
        <f t="shared" si="31"/>
        <v>B</v>
      </c>
      <c r="I110" s="5" t="str">
        <f t="shared" si="32"/>
        <v>B</v>
      </c>
      <c r="J110" s="5" t="str">
        <f t="shared" si="33"/>
        <v>CB</v>
      </c>
      <c r="K110" s="5" t="str">
        <f t="shared" si="34"/>
        <v>CB</v>
      </c>
      <c r="L110" s="5" t="str">
        <f t="shared" si="35"/>
        <v>BB</v>
      </c>
      <c r="M110">
        <v>26.54</v>
      </c>
      <c r="R110" s="4">
        <f>(M18-AVERAGE($M$3:$M$290))^2</f>
        <v>0.23070009765623989</v>
      </c>
      <c r="AI110"/>
      <c r="AM110" s="23"/>
      <c r="AN110" s="23"/>
      <c r="AO110" s="20"/>
      <c r="AP110" s="20"/>
    </row>
    <row r="111" spans="2:42" x14ac:dyDescent="0.25">
      <c r="B111" s="5" t="s">
        <v>24</v>
      </c>
      <c r="C111" s="5" t="s">
        <v>20</v>
      </c>
      <c r="D111" t="str">
        <f t="shared" si="29"/>
        <v>0501</v>
      </c>
      <c r="E111" s="5" t="s">
        <v>21</v>
      </c>
      <c r="F111" s="5" t="str">
        <f>VLOOKUP(E111,'Base Original'!$B$4:$C$16,2,0)</f>
        <v>BAA</v>
      </c>
      <c r="G111" s="5" t="str">
        <f t="shared" si="30"/>
        <v>B</v>
      </c>
      <c r="H111" s="5" t="str">
        <f t="shared" si="31"/>
        <v>A</v>
      </c>
      <c r="I111" s="5" t="str">
        <f t="shared" si="32"/>
        <v>A</v>
      </c>
      <c r="J111" s="5" t="str">
        <f t="shared" si="33"/>
        <v>BA</v>
      </c>
      <c r="K111" s="5" t="str">
        <f t="shared" si="34"/>
        <v>BA</v>
      </c>
      <c r="L111" s="5" t="str">
        <f t="shared" si="35"/>
        <v>AA</v>
      </c>
      <c r="M111">
        <v>24.37</v>
      </c>
      <c r="R111" s="4">
        <f>(M19-AVERAGE($M$3:$M$290))^2</f>
        <v>0.77495009765622902</v>
      </c>
      <c r="AI111"/>
      <c r="AM111" s="23"/>
      <c r="AN111" s="23"/>
      <c r="AO111" s="20"/>
      <c r="AP111" s="20"/>
    </row>
    <row r="112" spans="2:42" x14ac:dyDescent="0.25">
      <c r="B112" s="5" t="s">
        <v>24</v>
      </c>
      <c r="C112" s="5" t="s">
        <v>21</v>
      </c>
      <c r="D112" t="str">
        <f t="shared" si="29"/>
        <v>0502</v>
      </c>
      <c r="E112" s="5">
        <v>10</v>
      </c>
      <c r="F112" s="5" t="str">
        <f>VLOOKUP(E112,'Base Original'!$B$4:$C$16,2,0)</f>
        <v>AAB</v>
      </c>
      <c r="G112" s="5" t="str">
        <f t="shared" si="30"/>
        <v>A</v>
      </c>
      <c r="H112" s="5" t="str">
        <f t="shared" si="31"/>
        <v>A</v>
      </c>
      <c r="I112" s="5" t="str">
        <f t="shared" si="32"/>
        <v>B</v>
      </c>
      <c r="J112" s="5" t="str">
        <f t="shared" si="33"/>
        <v>AA</v>
      </c>
      <c r="K112" s="5" t="str">
        <f t="shared" si="34"/>
        <v>AB</v>
      </c>
      <c r="L112" s="5" t="str">
        <f t="shared" si="35"/>
        <v>AB</v>
      </c>
      <c r="M112">
        <v>23.38</v>
      </c>
      <c r="R112" s="4">
        <f>(M20-AVERAGE($M$3:$M$290))^2</f>
        <v>0.42209384765626234</v>
      </c>
      <c r="AI112"/>
      <c r="AM112" s="23"/>
      <c r="AN112" s="23"/>
      <c r="AO112" s="20"/>
      <c r="AP112" s="20"/>
    </row>
    <row r="113" spans="2:42" x14ac:dyDescent="0.25">
      <c r="B113" s="5" t="s">
        <v>24</v>
      </c>
      <c r="C113" s="5" t="s">
        <v>22</v>
      </c>
      <c r="D113" t="str">
        <f t="shared" si="29"/>
        <v>0503</v>
      </c>
      <c r="E113" s="5" t="s">
        <v>26</v>
      </c>
      <c r="F113" s="5" t="str">
        <f>VLOOKUP(E113,'Base Original'!$B$4:$C$16,2,0)</f>
        <v>ABB</v>
      </c>
      <c r="G113" s="5" t="str">
        <f t="shared" si="30"/>
        <v>A</v>
      </c>
      <c r="H113" s="5" t="str">
        <f t="shared" si="31"/>
        <v>B</v>
      </c>
      <c r="I113" s="5" t="str">
        <f t="shared" si="32"/>
        <v>B</v>
      </c>
      <c r="J113" s="5" t="str">
        <f t="shared" si="33"/>
        <v>AB</v>
      </c>
      <c r="K113" s="5" t="str">
        <f t="shared" si="34"/>
        <v>AB</v>
      </c>
      <c r="L113" s="5" t="str">
        <f t="shared" si="35"/>
        <v>BB</v>
      </c>
      <c r="M113">
        <v>23.88</v>
      </c>
      <c r="R113" s="4">
        <f>(M21-AVERAGE($M$3:$M$290))^2</f>
        <v>0.70612509765623133</v>
      </c>
      <c r="AI113"/>
      <c r="AM113" s="23"/>
      <c r="AN113" s="23"/>
      <c r="AO113" s="20"/>
      <c r="AP113" s="20"/>
    </row>
    <row r="114" spans="2:42" x14ac:dyDescent="0.25">
      <c r="B114" s="5" t="s">
        <v>24</v>
      </c>
      <c r="C114" s="5" t="s">
        <v>23</v>
      </c>
      <c r="D114" t="str">
        <f t="shared" si="29"/>
        <v>0504</v>
      </c>
      <c r="E114" s="5" t="s">
        <v>20</v>
      </c>
      <c r="F114" s="5" t="str">
        <f>VLOOKUP(E114,'Base Original'!$B$4:$C$16,2,0)</f>
        <v>AAA</v>
      </c>
      <c r="G114" s="5" t="str">
        <f t="shared" si="30"/>
        <v>A</v>
      </c>
      <c r="H114" s="5" t="str">
        <f t="shared" si="31"/>
        <v>A</v>
      </c>
      <c r="I114" s="5" t="str">
        <f t="shared" si="32"/>
        <v>A</v>
      </c>
      <c r="J114" s="5" t="str">
        <f t="shared" si="33"/>
        <v>AA</v>
      </c>
      <c r="K114" s="5" t="str">
        <f t="shared" si="34"/>
        <v>AA</v>
      </c>
      <c r="L114" s="5" t="str">
        <f t="shared" si="35"/>
        <v>AA</v>
      </c>
      <c r="M114">
        <v>25.73</v>
      </c>
      <c r="R114" s="4">
        <f>(M22-AVERAGE($M$3:$M$290))^2</f>
        <v>8.9812597656256987E-2</v>
      </c>
      <c r="AI114"/>
      <c r="AM114" s="23"/>
      <c r="AN114" s="23"/>
      <c r="AO114" s="20"/>
      <c r="AP114" s="20"/>
    </row>
    <row r="115" spans="2:42" x14ac:dyDescent="0.25">
      <c r="B115" s="5" t="s">
        <v>24</v>
      </c>
      <c r="C115" s="5" t="s">
        <v>24</v>
      </c>
      <c r="D115" t="str">
        <f t="shared" si="29"/>
        <v>0505</v>
      </c>
      <c r="E115" s="5" t="s">
        <v>23</v>
      </c>
      <c r="F115" s="5" t="str">
        <f>VLOOKUP(E115,'Base Original'!$B$4:$C$16,2,0)</f>
        <v>ABA</v>
      </c>
      <c r="G115" s="5" t="str">
        <f t="shared" si="30"/>
        <v>A</v>
      </c>
      <c r="H115" s="5" t="str">
        <f t="shared" si="31"/>
        <v>B</v>
      </c>
      <c r="I115" s="5" t="str">
        <f t="shared" si="32"/>
        <v>A</v>
      </c>
      <c r="J115" s="5" t="str">
        <f t="shared" si="33"/>
        <v>AB</v>
      </c>
      <c r="K115" s="5" t="str">
        <f t="shared" si="34"/>
        <v>AA</v>
      </c>
      <c r="L115" s="5" t="str">
        <f t="shared" si="35"/>
        <v>BA</v>
      </c>
      <c r="M115">
        <v>24.94</v>
      </c>
      <c r="R115" s="4">
        <f>(M23-AVERAGE($M$3:$M$290))^2</f>
        <v>6.3500976562514723E-3</v>
      </c>
      <c r="AI115"/>
      <c r="AM115" s="23"/>
      <c r="AN115" s="23"/>
      <c r="AO115" s="20"/>
      <c r="AP115" s="20"/>
    </row>
    <row r="116" spans="2:42" x14ac:dyDescent="0.25">
      <c r="B116" s="5" t="s">
        <v>24</v>
      </c>
      <c r="C116" s="5" t="s">
        <v>25</v>
      </c>
      <c r="D116" t="str">
        <f t="shared" si="29"/>
        <v>0506</v>
      </c>
      <c r="E116" s="5" t="s">
        <v>27</v>
      </c>
      <c r="F116" s="5" t="str">
        <f>VLOOKUP(E116,'Base Original'!$B$4:$C$16,2,0)</f>
        <v>BBB</v>
      </c>
      <c r="G116" s="5" t="str">
        <f t="shared" si="30"/>
        <v>B</v>
      </c>
      <c r="H116" s="5" t="str">
        <f t="shared" si="31"/>
        <v>B</v>
      </c>
      <c r="I116" s="5" t="str">
        <f t="shared" si="32"/>
        <v>B</v>
      </c>
      <c r="J116" s="5" t="str">
        <f t="shared" si="33"/>
        <v>BB</v>
      </c>
      <c r="K116" s="5" t="str">
        <f t="shared" si="34"/>
        <v>BB</v>
      </c>
      <c r="L116" s="5" t="str">
        <f t="shared" si="35"/>
        <v>BB</v>
      </c>
      <c r="M116">
        <v>23.64</v>
      </c>
      <c r="R116" s="4">
        <f>(M24-AVERAGE($M$3:$M$290))^2</f>
        <v>7.2731347656255677E-2</v>
      </c>
      <c r="AI116"/>
      <c r="AM116" s="23"/>
      <c r="AN116" s="23"/>
      <c r="AO116" s="20"/>
      <c r="AP116" s="20"/>
    </row>
    <row r="117" spans="2:42" x14ac:dyDescent="0.25">
      <c r="B117" s="5" t="s">
        <v>24</v>
      </c>
      <c r="C117" s="5" t="s">
        <v>26</v>
      </c>
      <c r="D117" t="str">
        <f t="shared" si="29"/>
        <v>0507</v>
      </c>
      <c r="E117" s="5" t="s">
        <v>24</v>
      </c>
      <c r="F117" s="5" t="str">
        <f>VLOOKUP(E117,'Base Original'!$B$4:$C$16,2,0)</f>
        <v>BBA</v>
      </c>
      <c r="G117" s="5" t="str">
        <f t="shared" si="30"/>
        <v>B</v>
      </c>
      <c r="H117" s="5" t="str">
        <f t="shared" si="31"/>
        <v>B</v>
      </c>
      <c r="I117" s="5" t="str">
        <f t="shared" si="32"/>
        <v>A</v>
      </c>
      <c r="J117" s="5" t="str">
        <f t="shared" si="33"/>
        <v>BB</v>
      </c>
      <c r="K117" s="5" t="str">
        <f t="shared" si="34"/>
        <v>BA</v>
      </c>
      <c r="L117" s="5" t="str">
        <f t="shared" si="35"/>
        <v>BA</v>
      </c>
      <c r="M117">
        <v>24.64</v>
      </c>
      <c r="R117" s="4">
        <f>(M25-AVERAGE($M$3:$M$290))^2</f>
        <v>3.5332250976562873</v>
      </c>
      <c r="AI117"/>
      <c r="AM117" s="23"/>
      <c r="AN117" s="23"/>
      <c r="AO117" s="20"/>
      <c r="AP117" s="20"/>
    </row>
    <row r="118" spans="2:42" x14ac:dyDescent="0.25">
      <c r="B118" s="5" t="s">
        <v>24</v>
      </c>
      <c r="C118" s="5" t="s">
        <v>27</v>
      </c>
      <c r="D118" t="str">
        <f t="shared" si="29"/>
        <v>0508</v>
      </c>
      <c r="E118" s="5">
        <v>12</v>
      </c>
      <c r="F118" s="5" t="str">
        <f>VLOOKUP(E118,'Base Original'!$B$4:$C$16,2,0)</f>
        <v>CAB</v>
      </c>
      <c r="G118" s="5" t="str">
        <f t="shared" si="30"/>
        <v>C</v>
      </c>
      <c r="H118" s="5" t="str">
        <f t="shared" si="31"/>
        <v>A</v>
      </c>
      <c r="I118" s="5" t="str">
        <f t="shared" si="32"/>
        <v>B</v>
      </c>
      <c r="J118" s="5" t="str">
        <f t="shared" si="33"/>
        <v>CA</v>
      </c>
      <c r="K118" s="5" t="str">
        <f t="shared" si="34"/>
        <v>CB</v>
      </c>
      <c r="L118" s="5" t="str">
        <f t="shared" si="35"/>
        <v>AB</v>
      </c>
      <c r="M118">
        <v>23.47</v>
      </c>
      <c r="R118" s="4">
        <f>(M26-AVERAGE($M$3:$M$290))^2</f>
        <v>1.0809500976562709</v>
      </c>
      <c r="AI118"/>
      <c r="AM118" s="23"/>
      <c r="AN118" s="23"/>
      <c r="AO118" s="20"/>
      <c r="AP118" s="20"/>
    </row>
    <row r="119" spans="2:42" x14ac:dyDescent="0.25">
      <c r="B119" s="5" t="s">
        <v>24</v>
      </c>
      <c r="C119" s="5" t="s">
        <v>28</v>
      </c>
      <c r="D119" t="str">
        <f t="shared" si="29"/>
        <v>0509</v>
      </c>
      <c r="E119" s="5" t="s">
        <v>25</v>
      </c>
      <c r="F119" s="5" t="str">
        <f>VLOOKUP(E119,'Base Original'!$B$4:$C$16,2,0)</f>
        <v>CBA</v>
      </c>
      <c r="G119" s="5" t="str">
        <f t="shared" si="30"/>
        <v>C</v>
      </c>
      <c r="H119" s="5" t="str">
        <f t="shared" si="31"/>
        <v>B</v>
      </c>
      <c r="I119" s="5" t="str">
        <f t="shared" si="32"/>
        <v>A</v>
      </c>
      <c r="J119" s="5" t="str">
        <f t="shared" si="33"/>
        <v>CB</v>
      </c>
      <c r="K119" s="5" t="str">
        <f t="shared" si="34"/>
        <v>CA</v>
      </c>
      <c r="L119" s="5" t="str">
        <f t="shared" si="35"/>
        <v>BA</v>
      </c>
      <c r="M119">
        <v>23</v>
      </c>
      <c r="R119" s="4">
        <f>(M27-AVERAGE($M$3:$M$290))^2</f>
        <v>1.3916625976562751</v>
      </c>
      <c r="AI119"/>
      <c r="AM119" s="23"/>
      <c r="AN119" s="23"/>
      <c r="AO119" s="20"/>
      <c r="AP119" s="20"/>
    </row>
    <row r="120" spans="2:42" x14ac:dyDescent="0.25">
      <c r="B120" s="5" t="s">
        <v>24</v>
      </c>
      <c r="C120" s="5">
        <v>10</v>
      </c>
      <c r="D120" t="str">
        <f t="shared" si="29"/>
        <v>0510</v>
      </c>
      <c r="E120" s="5">
        <v>11</v>
      </c>
      <c r="F120" s="5" t="str">
        <f>VLOOKUP(E120,'Base Original'!$B$4:$C$16,2,0)</f>
        <v>BAB</v>
      </c>
      <c r="G120" s="5" t="str">
        <f t="shared" si="30"/>
        <v>B</v>
      </c>
      <c r="H120" s="5" t="str">
        <f t="shared" si="31"/>
        <v>A</v>
      </c>
      <c r="I120" s="5" t="str">
        <f t="shared" si="32"/>
        <v>B</v>
      </c>
      <c r="J120" s="5" t="str">
        <f t="shared" si="33"/>
        <v>BA</v>
      </c>
      <c r="K120" s="5" t="str">
        <f t="shared" si="34"/>
        <v>BB</v>
      </c>
      <c r="L120" s="5" t="str">
        <f t="shared" si="35"/>
        <v>AB</v>
      </c>
      <c r="M120">
        <v>25.19</v>
      </c>
      <c r="R120" s="4">
        <f>(M28-AVERAGE($M$3:$M$290))^2</f>
        <v>1.1018438476562744</v>
      </c>
      <c r="AI120"/>
      <c r="AM120" s="23"/>
      <c r="AN120" s="23"/>
      <c r="AO120" s="20"/>
      <c r="AP120" s="20"/>
    </row>
    <row r="121" spans="2:42" x14ac:dyDescent="0.25">
      <c r="B121" s="5" t="s">
        <v>24</v>
      </c>
      <c r="C121" s="5">
        <v>11</v>
      </c>
      <c r="D121" t="str">
        <f t="shared" si="29"/>
        <v>0511</v>
      </c>
      <c r="E121" s="5" t="s">
        <v>22</v>
      </c>
      <c r="F121" s="5" t="str">
        <f>VLOOKUP(E121,'Base Original'!$B$4:$C$16,2,0)</f>
        <v>CAA</v>
      </c>
      <c r="G121" s="5" t="str">
        <f t="shared" si="30"/>
        <v>C</v>
      </c>
      <c r="H121" s="5" t="str">
        <f t="shared" si="31"/>
        <v>A</v>
      </c>
      <c r="I121" s="5" t="str">
        <f t="shared" si="32"/>
        <v>A</v>
      </c>
      <c r="J121" s="5" t="str">
        <f t="shared" si="33"/>
        <v>CA</v>
      </c>
      <c r="K121" s="5" t="str">
        <f t="shared" si="34"/>
        <v>CA</v>
      </c>
      <c r="L121" s="5" t="str">
        <f t="shared" si="35"/>
        <v>AA</v>
      </c>
      <c r="M121">
        <v>25.01</v>
      </c>
      <c r="R121" s="4">
        <f>(M29-AVERAGE($M$3:$M$290))^2</f>
        <v>0.68941884765622896</v>
      </c>
      <c r="AI121"/>
      <c r="AM121" s="23"/>
      <c r="AN121" s="23"/>
      <c r="AO121" s="20"/>
      <c r="AP121" s="20"/>
    </row>
    <row r="122" spans="2:42" x14ac:dyDescent="0.25">
      <c r="B122" s="5" t="s">
        <v>24</v>
      </c>
      <c r="C122" s="5">
        <v>12</v>
      </c>
      <c r="D122" t="str">
        <f t="shared" si="29"/>
        <v>0512</v>
      </c>
      <c r="E122" s="5" t="s">
        <v>28</v>
      </c>
      <c r="F122" s="5" t="str">
        <f>VLOOKUP(E122,'Base Original'!$B$4:$C$16,2,0)</f>
        <v>CBB</v>
      </c>
      <c r="G122" s="5" t="str">
        <f t="shared" si="30"/>
        <v>C</v>
      </c>
      <c r="H122" s="5" t="str">
        <f t="shared" si="31"/>
        <v>B</v>
      </c>
      <c r="I122" s="5" t="str">
        <f t="shared" si="32"/>
        <v>B</v>
      </c>
      <c r="J122" s="5" t="str">
        <f t="shared" si="33"/>
        <v>CB</v>
      </c>
      <c r="K122" s="5" t="str">
        <f t="shared" si="34"/>
        <v>CB</v>
      </c>
      <c r="L122" s="5" t="str">
        <f t="shared" si="35"/>
        <v>BB</v>
      </c>
      <c r="M122">
        <v>25.81</v>
      </c>
      <c r="R122" s="4">
        <f>(M30-AVERAGE($M$3:$M$290))^2</f>
        <v>1.5368250976562732</v>
      </c>
      <c r="AI122"/>
      <c r="AM122" s="23"/>
      <c r="AN122" s="23"/>
      <c r="AO122" s="20"/>
      <c r="AP122" s="20"/>
    </row>
    <row r="123" spans="2:42" x14ac:dyDescent="0.25">
      <c r="B123" s="5" t="s">
        <v>25</v>
      </c>
      <c r="C123" s="5" t="s">
        <v>20</v>
      </c>
      <c r="D123" t="str">
        <f t="shared" si="29"/>
        <v>0601</v>
      </c>
      <c r="E123" s="5" t="s">
        <v>27</v>
      </c>
      <c r="F123" s="5" t="str">
        <f>VLOOKUP(E123,'Base Original'!$B$4:$C$16,2,0)</f>
        <v>BBB</v>
      </c>
      <c r="G123" s="5" t="str">
        <f t="shared" si="30"/>
        <v>B</v>
      </c>
      <c r="H123" s="5" t="str">
        <f t="shared" si="31"/>
        <v>B</v>
      </c>
      <c r="I123" s="5" t="str">
        <f t="shared" si="32"/>
        <v>B</v>
      </c>
      <c r="J123" s="5" t="str">
        <f t="shared" si="33"/>
        <v>BB</v>
      </c>
      <c r="K123" s="5" t="str">
        <f t="shared" si="34"/>
        <v>BB</v>
      </c>
      <c r="L123" s="5" t="str">
        <f t="shared" si="35"/>
        <v>BB</v>
      </c>
      <c r="M123">
        <v>23.27</v>
      </c>
      <c r="R123" s="4">
        <f>(M31-AVERAGE($M$3:$M$290))^2</f>
        <v>0.47653134765623667</v>
      </c>
      <c r="AI123"/>
      <c r="AM123" s="23"/>
      <c r="AN123" s="23"/>
      <c r="AO123" s="20"/>
      <c r="AP123" s="20"/>
    </row>
    <row r="124" spans="2:42" x14ac:dyDescent="0.25">
      <c r="B124" s="5" t="s">
        <v>25</v>
      </c>
      <c r="C124" s="5" t="s">
        <v>21</v>
      </c>
      <c r="D124" t="str">
        <f t="shared" si="29"/>
        <v>0602</v>
      </c>
      <c r="E124" s="5" t="s">
        <v>23</v>
      </c>
      <c r="F124" s="5" t="str">
        <f>VLOOKUP(E124,'Base Original'!$B$4:$C$16,2,0)</f>
        <v>ABA</v>
      </c>
      <c r="G124" s="5" t="str">
        <f t="shared" si="30"/>
        <v>A</v>
      </c>
      <c r="H124" s="5" t="str">
        <f t="shared" si="31"/>
        <v>B</v>
      </c>
      <c r="I124" s="5" t="str">
        <f t="shared" si="32"/>
        <v>A</v>
      </c>
      <c r="J124" s="5" t="str">
        <f t="shared" si="33"/>
        <v>AB</v>
      </c>
      <c r="K124" s="5" t="str">
        <f t="shared" si="34"/>
        <v>AA</v>
      </c>
      <c r="L124" s="5" t="str">
        <f t="shared" si="35"/>
        <v>BA</v>
      </c>
      <c r="M124">
        <v>24.53</v>
      </c>
      <c r="R124" s="4">
        <f>(M32-AVERAGE($M$3:$M$290))^2</f>
        <v>3.2512597656245951E-2</v>
      </c>
      <c r="AI124"/>
      <c r="AM124" s="23"/>
      <c r="AN124" s="23"/>
      <c r="AO124" s="20"/>
      <c r="AP124" s="20"/>
    </row>
    <row r="125" spans="2:42" x14ac:dyDescent="0.25">
      <c r="B125" s="5" t="s">
        <v>25</v>
      </c>
      <c r="C125" s="5" t="s">
        <v>22</v>
      </c>
      <c r="D125" t="str">
        <f t="shared" si="29"/>
        <v>0603</v>
      </c>
      <c r="E125" s="5" t="s">
        <v>21</v>
      </c>
      <c r="F125" s="5" t="str">
        <f>VLOOKUP(E125,'Base Original'!$B$4:$C$16,2,0)</f>
        <v>BAA</v>
      </c>
      <c r="G125" s="5" t="str">
        <f t="shared" si="30"/>
        <v>B</v>
      </c>
      <c r="H125" s="5" t="str">
        <f t="shared" si="31"/>
        <v>A</v>
      </c>
      <c r="I125" s="5" t="str">
        <f t="shared" si="32"/>
        <v>A</v>
      </c>
      <c r="J125" s="5" t="str">
        <f t="shared" si="33"/>
        <v>BA</v>
      </c>
      <c r="K125" s="5" t="str">
        <f t="shared" si="34"/>
        <v>BA</v>
      </c>
      <c r="L125" s="5" t="str">
        <f t="shared" si="35"/>
        <v>AA</v>
      </c>
      <c r="M125">
        <v>25.47</v>
      </c>
      <c r="R125" s="4">
        <f>(M33-AVERAGE($M$3:$M$290))^2</f>
        <v>1.9035375976562774</v>
      </c>
      <c r="AI125"/>
      <c r="AM125" s="23"/>
      <c r="AN125" s="23"/>
      <c r="AO125" s="20"/>
      <c r="AP125" s="20"/>
    </row>
    <row r="126" spans="2:42" x14ac:dyDescent="0.25">
      <c r="B126" s="5" t="s">
        <v>25</v>
      </c>
      <c r="C126" s="5" t="s">
        <v>23</v>
      </c>
      <c r="D126" t="str">
        <f t="shared" si="29"/>
        <v>0604</v>
      </c>
      <c r="E126" s="5">
        <v>11</v>
      </c>
      <c r="F126" s="5" t="str">
        <f>VLOOKUP(E126,'Base Original'!$B$4:$C$16,2,0)</f>
        <v>BAB</v>
      </c>
      <c r="G126" s="5" t="str">
        <f t="shared" si="30"/>
        <v>B</v>
      </c>
      <c r="H126" s="5" t="str">
        <f t="shared" si="31"/>
        <v>A</v>
      </c>
      <c r="I126" s="5" t="str">
        <f t="shared" si="32"/>
        <v>B</v>
      </c>
      <c r="J126" s="5" t="str">
        <f t="shared" si="33"/>
        <v>BA</v>
      </c>
      <c r="K126" s="5" t="str">
        <f t="shared" si="34"/>
        <v>BB</v>
      </c>
      <c r="L126" s="5" t="str">
        <f t="shared" si="35"/>
        <v>AB</v>
      </c>
      <c r="M126">
        <v>23.69</v>
      </c>
      <c r="R126" s="4">
        <f>(M34-AVERAGE($M$3:$M$290))^2</f>
        <v>1.2031347656252276E-2</v>
      </c>
      <c r="AI126"/>
      <c r="AM126" s="23"/>
      <c r="AN126" s="23"/>
      <c r="AO126" s="20"/>
      <c r="AP126" s="20"/>
    </row>
    <row r="127" spans="2:42" x14ac:dyDescent="0.25">
      <c r="B127" s="5" t="s">
        <v>25</v>
      </c>
      <c r="C127" s="5" t="s">
        <v>24</v>
      </c>
      <c r="D127" t="str">
        <f t="shared" si="29"/>
        <v>0605</v>
      </c>
      <c r="E127" s="5" t="s">
        <v>28</v>
      </c>
      <c r="F127" s="5" t="str">
        <f>VLOOKUP(E127,'Base Original'!$B$4:$C$16,2,0)</f>
        <v>CBB</v>
      </c>
      <c r="G127" s="5" t="str">
        <f t="shared" si="30"/>
        <v>C</v>
      </c>
      <c r="H127" s="5" t="str">
        <f t="shared" si="31"/>
        <v>B</v>
      </c>
      <c r="I127" s="5" t="str">
        <f t="shared" si="32"/>
        <v>B</v>
      </c>
      <c r="J127" s="5" t="str">
        <f t="shared" si="33"/>
        <v>CB</v>
      </c>
      <c r="K127" s="5" t="str">
        <f t="shared" si="34"/>
        <v>CB</v>
      </c>
      <c r="L127" s="5" t="str">
        <f t="shared" si="35"/>
        <v>BB</v>
      </c>
      <c r="M127">
        <v>24.97</v>
      </c>
      <c r="R127" s="4">
        <f>(M35-AVERAGE($M$3:$M$290))^2</f>
        <v>8.9812597656256987E-2</v>
      </c>
      <c r="AI127"/>
      <c r="AM127" s="23"/>
      <c r="AN127" s="23"/>
      <c r="AO127" s="20"/>
      <c r="AP127" s="20"/>
    </row>
    <row r="128" spans="2:42" x14ac:dyDescent="0.25">
      <c r="B128" s="5" t="s">
        <v>25</v>
      </c>
      <c r="C128" s="5" t="s">
        <v>25</v>
      </c>
      <c r="D128" t="str">
        <f t="shared" si="29"/>
        <v>0606</v>
      </c>
      <c r="E128" s="5" t="s">
        <v>26</v>
      </c>
      <c r="F128" s="5" t="str">
        <f>VLOOKUP(E128,'Base Original'!$B$4:$C$16,2,0)</f>
        <v>ABB</v>
      </c>
      <c r="G128" s="5" t="str">
        <f t="shared" si="30"/>
        <v>A</v>
      </c>
      <c r="H128" s="5" t="str">
        <f t="shared" si="31"/>
        <v>B</v>
      </c>
      <c r="I128" s="5" t="str">
        <f t="shared" si="32"/>
        <v>B</v>
      </c>
      <c r="J128" s="5" t="str">
        <f t="shared" si="33"/>
        <v>AB</v>
      </c>
      <c r="K128" s="5" t="str">
        <f t="shared" si="34"/>
        <v>AB</v>
      </c>
      <c r="L128" s="5" t="str">
        <f t="shared" si="35"/>
        <v>BB</v>
      </c>
      <c r="M128">
        <v>24.5</v>
      </c>
      <c r="R128" s="4">
        <f>(M36-AVERAGE($M$3:$M$290))^2</f>
        <v>4.4231347656245756E-2</v>
      </c>
      <c r="AI128"/>
      <c r="AM128" s="23"/>
      <c r="AN128" s="23"/>
      <c r="AO128" s="20"/>
      <c r="AP128" s="20"/>
    </row>
    <row r="129" spans="2:42" x14ac:dyDescent="0.25">
      <c r="B129" s="5" t="s">
        <v>25</v>
      </c>
      <c r="C129" s="5" t="s">
        <v>26</v>
      </c>
      <c r="D129" t="str">
        <f t="shared" si="29"/>
        <v>0607</v>
      </c>
      <c r="E129" s="5" t="s">
        <v>22</v>
      </c>
      <c r="F129" s="5" t="str">
        <f>VLOOKUP(E129,'Base Original'!$B$4:$C$16,2,0)</f>
        <v>CAA</v>
      </c>
      <c r="G129" s="5" t="str">
        <f t="shared" si="30"/>
        <v>C</v>
      </c>
      <c r="H129" s="5" t="str">
        <f t="shared" si="31"/>
        <v>A</v>
      </c>
      <c r="I129" s="5" t="str">
        <f t="shared" si="32"/>
        <v>A</v>
      </c>
      <c r="J129" s="5" t="str">
        <f t="shared" si="33"/>
        <v>CA</v>
      </c>
      <c r="K129" s="5" t="str">
        <f t="shared" si="34"/>
        <v>CA</v>
      </c>
      <c r="L129" s="5" t="str">
        <f t="shared" si="35"/>
        <v>AA</v>
      </c>
      <c r="M129">
        <v>22.93</v>
      </c>
      <c r="R129" s="4">
        <f>(M37-AVERAGE($M$3:$M$290))^2</f>
        <v>2.9006347656246854E-2</v>
      </c>
      <c r="AI129"/>
      <c r="AM129" s="23"/>
      <c r="AN129" s="23"/>
      <c r="AO129" s="20"/>
      <c r="AP129" s="20"/>
    </row>
    <row r="130" spans="2:42" x14ac:dyDescent="0.25">
      <c r="B130" s="5" t="s">
        <v>25</v>
      </c>
      <c r="C130" s="5" t="s">
        <v>27</v>
      </c>
      <c r="D130" t="str">
        <f t="shared" si="29"/>
        <v>0608</v>
      </c>
      <c r="E130" s="5" t="s">
        <v>25</v>
      </c>
      <c r="F130" s="5" t="str">
        <f>VLOOKUP(E130,'Base Original'!$B$4:$C$16,2,0)</f>
        <v>CBA</v>
      </c>
      <c r="G130" s="5" t="str">
        <f t="shared" si="30"/>
        <v>C</v>
      </c>
      <c r="H130" s="5" t="str">
        <f t="shared" si="31"/>
        <v>B</v>
      </c>
      <c r="I130" s="5" t="str">
        <f t="shared" si="32"/>
        <v>A</v>
      </c>
      <c r="J130" s="5" t="str">
        <f t="shared" si="33"/>
        <v>CB</v>
      </c>
      <c r="K130" s="5" t="str">
        <f t="shared" si="34"/>
        <v>CA</v>
      </c>
      <c r="L130" s="5" t="str">
        <f t="shared" si="35"/>
        <v>BA</v>
      </c>
      <c r="M130">
        <v>24.39</v>
      </c>
      <c r="R130" s="4">
        <f>(M38-AVERAGE($M$3:$M$290))^2</f>
        <v>4.9438476562485012E-3</v>
      </c>
      <c r="AI130"/>
      <c r="AM130" s="23"/>
      <c r="AN130" s="23"/>
      <c r="AO130" s="20"/>
      <c r="AP130" s="20"/>
    </row>
    <row r="131" spans="2:42" x14ac:dyDescent="0.25">
      <c r="B131" s="5" t="s">
        <v>25</v>
      </c>
      <c r="C131" s="5" t="s">
        <v>28</v>
      </c>
      <c r="D131" t="str">
        <f t="shared" si="29"/>
        <v>0609</v>
      </c>
      <c r="E131" s="5" t="s">
        <v>24</v>
      </c>
      <c r="F131" s="5" t="str">
        <f>VLOOKUP(E131,'Base Original'!$B$4:$C$16,2,0)</f>
        <v>BBA</v>
      </c>
      <c r="G131" s="5" t="str">
        <f t="shared" si="30"/>
        <v>B</v>
      </c>
      <c r="H131" s="5" t="str">
        <f t="shared" si="31"/>
        <v>B</v>
      </c>
      <c r="I131" s="5" t="str">
        <f t="shared" si="32"/>
        <v>A</v>
      </c>
      <c r="J131" s="5" t="str">
        <f t="shared" si="33"/>
        <v>BB</v>
      </c>
      <c r="K131" s="5" t="str">
        <f t="shared" si="34"/>
        <v>BA</v>
      </c>
      <c r="L131" s="5" t="str">
        <f t="shared" si="35"/>
        <v>BA</v>
      </c>
      <c r="M131">
        <v>25.69</v>
      </c>
      <c r="R131" s="4">
        <f>(M39-AVERAGE($M$3:$M$290))^2</f>
        <v>0.62459384765623138</v>
      </c>
      <c r="AI131"/>
      <c r="AM131" s="23"/>
      <c r="AN131" s="23"/>
      <c r="AO131" s="20"/>
      <c r="AP131" s="20"/>
    </row>
    <row r="132" spans="2:42" x14ac:dyDescent="0.25">
      <c r="B132" s="5" t="s">
        <v>25</v>
      </c>
      <c r="C132" s="5">
        <v>10</v>
      </c>
      <c r="D132" t="str">
        <f t="shared" ref="D132:D195" si="45">B132&amp;C132</f>
        <v>0610</v>
      </c>
      <c r="E132" s="5">
        <v>12</v>
      </c>
      <c r="F132" s="5" t="str">
        <f>VLOOKUP(E132,'Base Original'!$B$4:$C$16,2,0)</f>
        <v>CAB</v>
      </c>
      <c r="G132" s="5" t="str">
        <f t="shared" ref="G132:G195" si="46">LEFT(F132,1)</f>
        <v>C</v>
      </c>
      <c r="H132" s="5" t="str">
        <f t="shared" ref="H132:H195" si="47">MID(F132,2,1)</f>
        <v>A</v>
      </c>
      <c r="I132" s="5" t="str">
        <f t="shared" ref="I132:I195" si="48">RIGHT(F132,1)</f>
        <v>B</v>
      </c>
      <c r="J132" s="5" t="str">
        <f t="shared" ref="J132:J195" si="49">G132&amp;H132</f>
        <v>CA</v>
      </c>
      <c r="K132" s="5" t="str">
        <f t="shared" ref="K132:K195" si="50">G132&amp;I132</f>
        <v>CB</v>
      </c>
      <c r="L132" s="5" t="str">
        <f t="shared" ref="L132:L195" si="51">H132&amp;I132</f>
        <v>AB</v>
      </c>
      <c r="M132">
        <v>25.7</v>
      </c>
      <c r="R132" s="4">
        <f>(M40-AVERAGE($M$3:$M$290))^2</f>
        <v>0.30284384765623873</v>
      </c>
      <c r="AI132"/>
      <c r="AM132" s="23"/>
      <c r="AN132" s="23"/>
      <c r="AO132" s="20"/>
      <c r="AP132" s="20"/>
    </row>
    <row r="133" spans="2:42" x14ac:dyDescent="0.25">
      <c r="B133" s="5" t="s">
        <v>25</v>
      </c>
      <c r="C133" s="5">
        <v>11</v>
      </c>
      <c r="D133" t="str">
        <f t="shared" si="45"/>
        <v>0611</v>
      </c>
      <c r="E133" s="5">
        <v>10</v>
      </c>
      <c r="F133" s="5" t="str">
        <f>VLOOKUP(E133,'Base Original'!$B$4:$C$16,2,0)</f>
        <v>AAB</v>
      </c>
      <c r="G133" s="5" t="str">
        <f t="shared" si="46"/>
        <v>A</v>
      </c>
      <c r="H133" s="5" t="str">
        <f t="shared" si="47"/>
        <v>A</v>
      </c>
      <c r="I133" s="5" t="str">
        <f t="shared" si="48"/>
        <v>B</v>
      </c>
      <c r="J133" s="5" t="str">
        <f t="shared" si="49"/>
        <v>AA</v>
      </c>
      <c r="K133" s="5" t="str">
        <f t="shared" si="50"/>
        <v>AB</v>
      </c>
      <c r="L133" s="5" t="str">
        <f t="shared" si="51"/>
        <v>AB</v>
      </c>
      <c r="M133">
        <v>23.43</v>
      </c>
      <c r="R133" s="4">
        <f>(M41-AVERAGE($M$3:$M$290))^2</f>
        <v>1.2168847656247461E-2</v>
      </c>
      <c r="AI133"/>
      <c r="AM133" s="23"/>
      <c r="AN133" s="23"/>
      <c r="AO133" s="20"/>
      <c r="AP133" s="20"/>
    </row>
    <row r="134" spans="2:42" x14ac:dyDescent="0.25">
      <c r="B134" s="5" t="s">
        <v>25</v>
      </c>
      <c r="C134" s="5">
        <v>12</v>
      </c>
      <c r="D134" t="str">
        <f t="shared" si="45"/>
        <v>0612</v>
      </c>
      <c r="E134" s="5" t="s">
        <v>20</v>
      </c>
      <c r="F134" s="5" t="str">
        <f>VLOOKUP(E134,'Base Original'!$B$4:$C$16,2,0)</f>
        <v>AAA</v>
      </c>
      <c r="G134" s="5" t="str">
        <f t="shared" si="46"/>
        <v>A</v>
      </c>
      <c r="H134" s="5" t="str">
        <f t="shared" si="47"/>
        <v>A</v>
      </c>
      <c r="I134" s="5" t="str">
        <f t="shared" si="48"/>
        <v>A</v>
      </c>
      <c r="J134" s="5" t="str">
        <f t="shared" si="49"/>
        <v>AA</v>
      </c>
      <c r="K134" s="5" t="str">
        <f t="shared" si="50"/>
        <v>AA</v>
      </c>
      <c r="L134" s="5" t="str">
        <f t="shared" si="51"/>
        <v>AA</v>
      </c>
      <c r="M134">
        <v>26.28</v>
      </c>
      <c r="R134" s="4">
        <f>(M42-AVERAGE($M$3:$M$290))^2</f>
        <v>4.9438476562485012E-3</v>
      </c>
      <c r="AI134"/>
      <c r="AM134" s="23"/>
      <c r="AN134" s="23"/>
      <c r="AO134" s="20"/>
      <c r="AP134" s="20"/>
    </row>
    <row r="135" spans="2:42" x14ac:dyDescent="0.25">
      <c r="B135" s="5" t="s">
        <v>25</v>
      </c>
      <c r="C135" s="5" t="s">
        <v>20</v>
      </c>
      <c r="D135" t="str">
        <f t="shared" si="45"/>
        <v>0601</v>
      </c>
      <c r="E135" s="5" t="s">
        <v>27</v>
      </c>
      <c r="F135" s="5" t="str">
        <f>VLOOKUP(E135,'Base Original'!$B$4:$C$16,2,0)</f>
        <v>BBB</v>
      </c>
      <c r="G135" s="5" t="str">
        <f t="shared" si="46"/>
        <v>B</v>
      </c>
      <c r="H135" s="5" t="str">
        <f t="shared" si="47"/>
        <v>B</v>
      </c>
      <c r="I135" s="5" t="str">
        <f t="shared" si="48"/>
        <v>B</v>
      </c>
      <c r="J135" s="5" t="str">
        <f t="shared" si="49"/>
        <v>BB</v>
      </c>
      <c r="K135" s="5" t="str">
        <f t="shared" si="50"/>
        <v>BB</v>
      </c>
      <c r="L135" s="5" t="str">
        <f t="shared" si="51"/>
        <v>BB</v>
      </c>
      <c r="M135">
        <v>22.81</v>
      </c>
      <c r="R135" s="4">
        <f>(M43-AVERAGE($M$3:$M$290))^2</f>
        <v>4.4231347656245756E-2</v>
      </c>
      <c r="AI135"/>
      <c r="AM135" s="23"/>
      <c r="AN135" s="23"/>
      <c r="AO135" s="20"/>
      <c r="AP135" s="20"/>
    </row>
    <row r="136" spans="2:42" x14ac:dyDescent="0.25">
      <c r="B136" s="5" t="s">
        <v>25</v>
      </c>
      <c r="C136" s="5" t="s">
        <v>21</v>
      </c>
      <c r="D136" t="str">
        <f t="shared" si="45"/>
        <v>0602</v>
      </c>
      <c r="E136" s="5" t="s">
        <v>23</v>
      </c>
      <c r="F136" s="5" t="str">
        <f>VLOOKUP(E136,'Base Original'!$B$4:$C$16,2,0)</f>
        <v>ABA</v>
      </c>
      <c r="G136" s="5" t="str">
        <f t="shared" si="46"/>
        <v>A</v>
      </c>
      <c r="H136" s="5" t="str">
        <f t="shared" si="47"/>
        <v>B</v>
      </c>
      <c r="I136" s="5" t="str">
        <f t="shared" si="48"/>
        <v>A</v>
      </c>
      <c r="J136" s="5" t="str">
        <f t="shared" si="49"/>
        <v>AB</v>
      </c>
      <c r="K136" s="5" t="str">
        <f t="shared" si="50"/>
        <v>AA</v>
      </c>
      <c r="L136" s="5" t="str">
        <f t="shared" si="51"/>
        <v>BA</v>
      </c>
      <c r="M136">
        <v>25.86</v>
      </c>
      <c r="R136" s="4">
        <f>(M44-AVERAGE($M$3:$M$290))^2</f>
        <v>0.34773134765626273</v>
      </c>
      <c r="AI136"/>
      <c r="AM136" s="23"/>
      <c r="AN136" s="23"/>
      <c r="AO136" s="20"/>
      <c r="AP136" s="20"/>
    </row>
    <row r="137" spans="2:42" x14ac:dyDescent="0.25">
      <c r="B137" s="5" t="s">
        <v>25</v>
      </c>
      <c r="C137" s="5" t="s">
        <v>22</v>
      </c>
      <c r="D137" t="str">
        <f t="shared" si="45"/>
        <v>0603</v>
      </c>
      <c r="E137" s="5" t="s">
        <v>21</v>
      </c>
      <c r="F137" s="5" t="str">
        <f>VLOOKUP(E137,'Base Original'!$B$4:$C$16,2,0)</f>
        <v>BAA</v>
      </c>
      <c r="G137" s="5" t="str">
        <f t="shared" si="46"/>
        <v>B</v>
      </c>
      <c r="H137" s="5" t="str">
        <f t="shared" si="47"/>
        <v>A</v>
      </c>
      <c r="I137" s="5" t="str">
        <f t="shared" si="48"/>
        <v>A</v>
      </c>
      <c r="J137" s="5" t="str">
        <f t="shared" si="49"/>
        <v>BA</v>
      </c>
      <c r="K137" s="5" t="str">
        <f t="shared" si="50"/>
        <v>BA</v>
      </c>
      <c r="L137" s="5" t="str">
        <f t="shared" si="51"/>
        <v>AA</v>
      </c>
      <c r="M137">
        <v>24.52</v>
      </c>
      <c r="R137" s="4">
        <f>(M45-AVERAGE($M$3:$M$290))^2</f>
        <v>3.3112625976562908</v>
      </c>
      <c r="AI137"/>
      <c r="AM137" s="23"/>
      <c r="AN137" s="23"/>
      <c r="AO137" s="20"/>
      <c r="AP137" s="20"/>
    </row>
    <row r="138" spans="2:42" x14ac:dyDescent="0.25">
      <c r="B138" s="5" t="s">
        <v>25</v>
      </c>
      <c r="C138" s="5" t="s">
        <v>23</v>
      </c>
      <c r="D138" t="str">
        <f t="shared" si="45"/>
        <v>0604</v>
      </c>
      <c r="E138" s="5">
        <v>11</v>
      </c>
      <c r="F138" s="5" t="str">
        <f>VLOOKUP(E138,'Base Original'!$B$4:$C$16,2,0)</f>
        <v>BAB</v>
      </c>
      <c r="G138" s="5" t="str">
        <f t="shared" si="46"/>
        <v>B</v>
      </c>
      <c r="H138" s="5" t="str">
        <f t="shared" si="47"/>
        <v>A</v>
      </c>
      <c r="I138" s="5" t="str">
        <f t="shared" si="48"/>
        <v>B</v>
      </c>
      <c r="J138" s="5" t="str">
        <f t="shared" si="49"/>
        <v>BA</v>
      </c>
      <c r="K138" s="5" t="str">
        <f t="shared" si="50"/>
        <v>BB</v>
      </c>
      <c r="L138" s="5" t="str">
        <f t="shared" si="51"/>
        <v>AB</v>
      </c>
      <c r="M138">
        <v>22.42</v>
      </c>
      <c r="R138" s="4">
        <f>(M46-AVERAGE($M$3:$M$290))^2</f>
        <v>0.18463134765625916</v>
      </c>
      <c r="AI138"/>
      <c r="AM138" s="23"/>
      <c r="AN138" s="23"/>
      <c r="AO138" s="20"/>
      <c r="AP138" s="20"/>
    </row>
    <row r="139" spans="2:42" x14ac:dyDescent="0.25">
      <c r="B139" s="5" t="s">
        <v>25</v>
      </c>
      <c r="C139" s="5" t="s">
        <v>24</v>
      </c>
      <c r="D139" t="str">
        <f t="shared" si="45"/>
        <v>0605</v>
      </c>
      <c r="E139" s="5" t="s">
        <v>28</v>
      </c>
      <c r="F139" s="5" t="str">
        <f>VLOOKUP(E139,'Base Original'!$B$4:$C$16,2,0)</f>
        <v>CBB</v>
      </c>
      <c r="G139" s="5" t="str">
        <f t="shared" si="46"/>
        <v>C</v>
      </c>
      <c r="H139" s="5" t="str">
        <f t="shared" si="47"/>
        <v>B</v>
      </c>
      <c r="I139" s="5" t="str">
        <f t="shared" si="48"/>
        <v>B</v>
      </c>
      <c r="J139" s="5" t="str">
        <f t="shared" si="49"/>
        <v>CB</v>
      </c>
      <c r="K139" s="5" t="str">
        <f t="shared" si="50"/>
        <v>CB</v>
      </c>
      <c r="L139" s="5" t="str">
        <f t="shared" si="51"/>
        <v>BB</v>
      </c>
      <c r="M139">
        <v>22.84</v>
      </c>
      <c r="R139" s="4">
        <f>(M47-AVERAGE($M$3:$M$290))^2</f>
        <v>1.9312313476562819</v>
      </c>
      <c r="AI139"/>
      <c r="AM139" s="23"/>
      <c r="AN139" s="23"/>
      <c r="AO139" s="20"/>
      <c r="AP139" s="20"/>
    </row>
    <row r="140" spans="2:42" x14ac:dyDescent="0.25">
      <c r="B140" s="5" t="s">
        <v>25</v>
      </c>
      <c r="C140" s="5" t="s">
        <v>25</v>
      </c>
      <c r="D140" t="str">
        <f t="shared" si="45"/>
        <v>0606</v>
      </c>
      <c r="E140" s="5" t="s">
        <v>26</v>
      </c>
      <c r="F140" s="5" t="str">
        <f>VLOOKUP(E140,'Base Original'!$B$4:$C$16,2,0)</f>
        <v>ABB</v>
      </c>
      <c r="G140" s="5" t="str">
        <f t="shared" si="46"/>
        <v>A</v>
      </c>
      <c r="H140" s="5" t="str">
        <f t="shared" si="47"/>
        <v>B</v>
      </c>
      <c r="I140" s="5" t="str">
        <f t="shared" si="48"/>
        <v>B</v>
      </c>
      <c r="J140" s="5" t="str">
        <f t="shared" si="49"/>
        <v>AB</v>
      </c>
      <c r="K140" s="5" t="str">
        <f t="shared" si="50"/>
        <v>AB</v>
      </c>
      <c r="L140" s="5" t="str">
        <f t="shared" si="51"/>
        <v>BB</v>
      </c>
      <c r="M140">
        <v>25.19</v>
      </c>
      <c r="R140" s="4">
        <f>(M48-AVERAGE($M$3:$M$290))^2</f>
        <v>1.7415750976562796</v>
      </c>
      <c r="AI140"/>
      <c r="AM140" s="23"/>
      <c r="AN140" s="23"/>
      <c r="AO140" s="20"/>
      <c r="AP140" s="20"/>
    </row>
    <row r="141" spans="2:42" x14ac:dyDescent="0.25">
      <c r="B141" s="5" t="s">
        <v>25</v>
      </c>
      <c r="C141" s="5" t="s">
        <v>26</v>
      </c>
      <c r="D141" t="str">
        <f t="shared" si="45"/>
        <v>0607</v>
      </c>
      <c r="E141" s="5" t="s">
        <v>22</v>
      </c>
      <c r="F141" s="5" t="str">
        <f>VLOOKUP(E141,'Base Original'!$B$4:$C$16,2,0)</f>
        <v>CAA</v>
      </c>
      <c r="G141" s="5" t="str">
        <f t="shared" si="46"/>
        <v>C</v>
      </c>
      <c r="H141" s="5" t="str">
        <f t="shared" si="47"/>
        <v>A</v>
      </c>
      <c r="I141" s="5" t="str">
        <f t="shared" si="48"/>
        <v>A</v>
      </c>
      <c r="J141" s="5" t="str">
        <f t="shared" si="49"/>
        <v>CA</v>
      </c>
      <c r="K141" s="5" t="str">
        <f t="shared" si="50"/>
        <v>CA</v>
      </c>
      <c r="L141" s="5" t="str">
        <f t="shared" si="51"/>
        <v>AA</v>
      </c>
      <c r="M141">
        <v>23.42</v>
      </c>
      <c r="R141" s="4">
        <f>(M49-AVERAGE($M$3:$M$290))^2</f>
        <v>2.3706375976562812</v>
      </c>
      <c r="AI141"/>
      <c r="AM141" s="23"/>
      <c r="AN141" s="23"/>
      <c r="AO141" s="20"/>
      <c r="AP141" s="20"/>
    </row>
    <row r="142" spans="2:42" x14ac:dyDescent="0.25">
      <c r="B142" s="5" t="s">
        <v>25</v>
      </c>
      <c r="C142" s="5" t="s">
        <v>27</v>
      </c>
      <c r="D142" t="str">
        <f t="shared" si="45"/>
        <v>0608</v>
      </c>
      <c r="E142" s="5" t="s">
        <v>25</v>
      </c>
      <c r="F142" s="5" t="str">
        <f>VLOOKUP(E142,'Base Original'!$B$4:$C$16,2,0)</f>
        <v>CBA</v>
      </c>
      <c r="G142" s="5" t="str">
        <f t="shared" si="46"/>
        <v>C</v>
      </c>
      <c r="H142" s="5" t="str">
        <f t="shared" si="47"/>
        <v>B</v>
      </c>
      <c r="I142" s="5" t="str">
        <f t="shared" si="48"/>
        <v>A</v>
      </c>
      <c r="J142" s="5" t="str">
        <f t="shared" si="49"/>
        <v>CB</v>
      </c>
      <c r="K142" s="5" t="str">
        <f t="shared" si="50"/>
        <v>CA</v>
      </c>
      <c r="L142" s="5" t="str">
        <f t="shared" si="51"/>
        <v>BA</v>
      </c>
      <c r="M142">
        <v>23.18</v>
      </c>
      <c r="R142" s="4">
        <f>(M50-AVERAGE($M$3:$M$290))^2</f>
        <v>1.0634765624980655E-4</v>
      </c>
      <c r="AI142"/>
      <c r="AM142" s="23"/>
      <c r="AN142" s="23"/>
      <c r="AO142" s="20"/>
      <c r="AP142" s="20"/>
    </row>
    <row r="143" spans="2:42" x14ac:dyDescent="0.25">
      <c r="B143" s="5" t="s">
        <v>25</v>
      </c>
      <c r="C143" s="5" t="s">
        <v>28</v>
      </c>
      <c r="D143" t="str">
        <f t="shared" si="45"/>
        <v>0609</v>
      </c>
      <c r="E143" s="5" t="s">
        <v>24</v>
      </c>
      <c r="F143" s="5" t="str">
        <f>VLOOKUP(E143,'Base Original'!$B$4:$C$16,2,0)</f>
        <v>BBA</v>
      </c>
      <c r="G143" s="5" t="str">
        <f t="shared" si="46"/>
        <v>B</v>
      </c>
      <c r="H143" s="5" t="str">
        <f t="shared" si="47"/>
        <v>B</v>
      </c>
      <c r="I143" s="5" t="str">
        <f t="shared" si="48"/>
        <v>A</v>
      </c>
      <c r="J143" s="5" t="str">
        <f t="shared" si="49"/>
        <v>BB</v>
      </c>
      <c r="K143" s="5" t="str">
        <f t="shared" si="50"/>
        <v>BA</v>
      </c>
      <c r="L143" s="5" t="str">
        <f t="shared" si="51"/>
        <v>BA</v>
      </c>
      <c r="M143">
        <v>24.37</v>
      </c>
      <c r="R143" s="4">
        <f>(M51-AVERAGE($M$3:$M$290))^2</f>
        <v>6.7762597656245122E-2</v>
      </c>
      <c r="AI143"/>
      <c r="AM143" s="23"/>
      <c r="AN143" s="23"/>
      <c r="AO143" s="20"/>
      <c r="AP143" s="20"/>
    </row>
    <row r="144" spans="2:42" x14ac:dyDescent="0.25">
      <c r="B144" s="5" t="s">
        <v>25</v>
      </c>
      <c r="C144" s="5">
        <v>10</v>
      </c>
      <c r="D144" t="str">
        <f t="shared" si="45"/>
        <v>0610</v>
      </c>
      <c r="E144" s="5">
        <v>12</v>
      </c>
      <c r="F144" s="5" t="str">
        <f>VLOOKUP(E144,'Base Original'!$B$4:$C$16,2,0)</f>
        <v>CAB</v>
      </c>
      <c r="G144" s="5" t="str">
        <f t="shared" si="46"/>
        <v>C</v>
      </c>
      <c r="H144" s="5" t="str">
        <f t="shared" si="47"/>
        <v>A</v>
      </c>
      <c r="I144" s="5" t="str">
        <f t="shared" si="48"/>
        <v>B</v>
      </c>
      <c r="J144" s="5" t="str">
        <f t="shared" si="49"/>
        <v>CA</v>
      </c>
      <c r="K144" s="5" t="str">
        <f t="shared" si="50"/>
        <v>CB</v>
      </c>
      <c r="L144" s="5" t="str">
        <f t="shared" si="51"/>
        <v>AB</v>
      </c>
      <c r="M144">
        <v>23.4</v>
      </c>
      <c r="R144" s="4">
        <f>(M52-AVERAGE($M$3:$M$290))^2</f>
        <v>0.74013759765623022</v>
      </c>
      <c r="AI144"/>
      <c r="AM144" s="23"/>
      <c r="AN144" s="23"/>
      <c r="AO144" s="20"/>
      <c r="AP144" s="20"/>
    </row>
    <row r="145" spans="2:42" x14ac:dyDescent="0.25">
      <c r="B145" s="5" t="s">
        <v>25</v>
      </c>
      <c r="C145" s="5">
        <v>11</v>
      </c>
      <c r="D145" t="str">
        <f t="shared" si="45"/>
        <v>0611</v>
      </c>
      <c r="E145" s="5">
        <v>10</v>
      </c>
      <c r="F145" s="5" t="str">
        <f>VLOOKUP(E145,'Base Original'!$B$4:$C$16,2,0)</f>
        <v>AAB</v>
      </c>
      <c r="G145" s="5" t="str">
        <f t="shared" si="46"/>
        <v>A</v>
      </c>
      <c r="H145" s="5" t="str">
        <f t="shared" si="47"/>
        <v>A</v>
      </c>
      <c r="I145" s="5" t="str">
        <f t="shared" si="48"/>
        <v>B</v>
      </c>
      <c r="J145" s="5" t="str">
        <f t="shared" si="49"/>
        <v>AA</v>
      </c>
      <c r="K145" s="5" t="str">
        <f t="shared" si="50"/>
        <v>AB</v>
      </c>
      <c r="L145" s="5" t="str">
        <f t="shared" si="51"/>
        <v>AB</v>
      </c>
      <c r="M145">
        <v>23.58</v>
      </c>
      <c r="R145" s="4">
        <f>(M53-AVERAGE($M$3:$M$290))^2</f>
        <v>0.21131259765626084</v>
      </c>
      <c r="AI145"/>
      <c r="AM145" s="23"/>
      <c r="AN145" s="23"/>
      <c r="AO145" s="20"/>
      <c r="AP145" s="20"/>
    </row>
    <row r="146" spans="2:42" x14ac:dyDescent="0.25">
      <c r="B146" s="5" t="s">
        <v>25</v>
      </c>
      <c r="C146" s="5">
        <v>12</v>
      </c>
      <c r="D146" t="str">
        <f t="shared" si="45"/>
        <v>0612</v>
      </c>
      <c r="E146" s="5" t="s">
        <v>20</v>
      </c>
      <c r="F146" s="5" t="str">
        <f>VLOOKUP(E146,'Base Original'!$B$4:$C$16,2,0)</f>
        <v>AAA</v>
      </c>
      <c r="G146" s="5" t="str">
        <f t="shared" si="46"/>
        <v>A</v>
      </c>
      <c r="H146" s="5" t="str">
        <f t="shared" si="47"/>
        <v>A</v>
      </c>
      <c r="I146" s="5" t="str">
        <f t="shared" si="48"/>
        <v>A</v>
      </c>
      <c r="J146" s="5" t="str">
        <f t="shared" si="49"/>
        <v>AA</v>
      </c>
      <c r="K146" s="5" t="str">
        <f t="shared" si="50"/>
        <v>AA</v>
      </c>
      <c r="L146" s="5" t="str">
        <f t="shared" si="51"/>
        <v>AA</v>
      </c>
      <c r="M146">
        <v>26.35</v>
      </c>
      <c r="R146" s="4">
        <f>(M54-AVERAGE($M$3:$M$290))^2</f>
        <v>0.60888759765623468</v>
      </c>
      <c r="AI146"/>
      <c r="AM146" s="23"/>
      <c r="AN146" s="23"/>
      <c r="AO146" s="20"/>
      <c r="AP146" s="20"/>
    </row>
    <row r="147" spans="2:42" x14ac:dyDescent="0.25">
      <c r="B147" s="5" t="s">
        <v>26</v>
      </c>
      <c r="C147" s="5" t="s">
        <v>20</v>
      </c>
      <c r="D147" t="str">
        <f t="shared" si="45"/>
        <v>0701</v>
      </c>
      <c r="E147" s="5" t="s">
        <v>25</v>
      </c>
      <c r="F147" s="5" t="str">
        <f>VLOOKUP(E147,'Base Original'!$B$4:$C$16,2,0)</f>
        <v>CBA</v>
      </c>
      <c r="G147" s="5" t="str">
        <f t="shared" si="46"/>
        <v>C</v>
      </c>
      <c r="H147" s="5" t="str">
        <f t="shared" si="47"/>
        <v>B</v>
      </c>
      <c r="I147" s="5" t="str">
        <f t="shared" si="48"/>
        <v>A</v>
      </c>
      <c r="J147" s="5" t="str">
        <f t="shared" si="49"/>
        <v>CB</v>
      </c>
      <c r="K147" s="5" t="str">
        <f t="shared" si="50"/>
        <v>CA</v>
      </c>
      <c r="L147" s="5" t="str">
        <f t="shared" si="51"/>
        <v>BA</v>
      </c>
      <c r="M147">
        <v>23.81</v>
      </c>
      <c r="R147" s="4">
        <f>(M55-AVERAGE($M$3:$M$290))^2</f>
        <v>0.23070009765623989</v>
      </c>
      <c r="AI147"/>
    </row>
    <row r="148" spans="2:42" x14ac:dyDescent="0.25">
      <c r="B148" s="5" t="s">
        <v>26</v>
      </c>
      <c r="C148" s="5" t="s">
        <v>21</v>
      </c>
      <c r="D148" t="str">
        <f t="shared" si="45"/>
        <v>0702</v>
      </c>
      <c r="E148" s="5" t="s">
        <v>24</v>
      </c>
      <c r="F148" s="5" t="str">
        <f>VLOOKUP(E148,'Base Original'!$B$4:$C$16,2,0)</f>
        <v>BBA</v>
      </c>
      <c r="G148" s="5" t="str">
        <f t="shared" si="46"/>
        <v>B</v>
      </c>
      <c r="H148" s="5" t="str">
        <f t="shared" si="47"/>
        <v>B</v>
      </c>
      <c r="I148" s="5" t="str">
        <f t="shared" si="48"/>
        <v>A</v>
      </c>
      <c r="J148" s="5" t="str">
        <f t="shared" si="49"/>
        <v>BB</v>
      </c>
      <c r="K148" s="5" t="str">
        <f t="shared" si="50"/>
        <v>BA</v>
      </c>
      <c r="L148" s="5" t="str">
        <f t="shared" si="51"/>
        <v>BA</v>
      </c>
      <c r="M148">
        <v>23.86</v>
      </c>
      <c r="R148" s="4">
        <f>(M56-AVERAGE($M$3:$M$290))^2</f>
        <v>4.9438476562485012E-3</v>
      </c>
      <c r="AI148"/>
    </row>
    <row r="149" spans="2:42" x14ac:dyDescent="0.25">
      <c r="B149" s="5" t="s">
        <v>26</v>
      </c>
      <c r="C149" s="5" t="s">
        <v>22</v>
      </c>
      <c r="D149" t="str">
        <f t="shared" si="45"/>
        <v>0703</v>
      </c>
      <c r="E149" s="5">
        <v>10</v>
      </c>
      <c r="F149" s="5" t="str">
        <f>VLOOKUP(E149,'Base Original'!$B$4:$C$16,2,0)</f>
        <v>AAB</v>
      </c>
      <c r="G149" s="5" t="str">
        <f t="shared" si="46"/>
        <v>A</v>
      </c>
      <c r="H149" s="5" t="str">
        <f t="shared" si="47"/>
        <v>A</v>
      </c>
      <c r="I149" s="5" t="str">
        <f t="shared" si="48"/>
        <v>B</v>
      </c>
      <c r="J149" s="5" t="str">
        <f t="shared" si="49"/>
        <v>AA</v>
      </c>
      <c r="K149" s="5" t="str">
        <f t="shared" si="50"/>
        <v>AB</v>
      </c>
      <c r="L149" s="5" t="str">
        <f t="shared" si="51"/>
        <v>AB</v>
      </c>
      <c r="M149">
        <v>23.17</v>
      </c>
      <c r="R149" s="4">
        <f>(M57-AVERAGE($M$3:$M$290))^2</f>
        <v>4.4231347656245756E-2</v>
      </c>
      <c r="AI149"/>
    </row>
    <row r="150" spans="2:42" x14ac:dyDescent="0.25">
      <c r="B150" s="5" t="s">
        <v>26</v>
      </c>
      <c r="C150" s="5" t="s">
        <v>23</v>
      </c>
      <c r="D150" t="str">
        <f t="shared" si="45"/>
        <v>0704</v>
      </c>
      <c r="E150" s="5">
        <v>12</v>
      </c>
      <c r="F150" s="5" t="str">
        <f>VLOOKUP(E150,'Base Original'!$B$4:$C$16,2,0)</f>
        <v>CAB</v>
      </c>
      <c r="G150" s="5" t="str">
        <f t="shared" si="46"/>
        <v>C</v>
      </c>
      <c r="H150" s="5" t="str">
        <f t="shared" si="47"/>
        <v>A</v>
      </c>
      <c r="I150" s="5" t="str">
        <f t="shared" si="48"/>
        <v>B</v>
      </c>
      <c r="J150" s="5" t="str">
        <f t="shared" si="49"/>
        <v>CA</v>
      </c>
      <c r="K150" s="5" t="str">
        <f t="shared" si="50"/>
        <v>CB</v>
      </c>
      <c r="L150" s="5" t="str">
        <f t="shared" si="51"/>
        <v>AB</v>
      </c>
      <c r="M150">
        <v>23.4</v>
      </c>
      <c r="R150" s="4">
        <f>(M58-AVERAGE($M$3:$M$290))^2</f>
        <v>0.20278134765623951</v>
      </c>
      <c r="AI150"/>
    </row>
    <row r="151" spans="2:42" x14ac:dyDescent="0.25">
      <c r="B151" s="5" t="s">
        <v>26</v>
      </c>
      <c r="C151" s="5" t="s">
        <v>24</v>
      </c>
      <c r="D151" t="str">
        <f t="shared" si="45"/>
        <v>0705</v>
      </c>
      <c r="E151" s="5">
        <v>11</v>
      </c>
      <c r="F151" s="5" t="str">
        <f>VLOOKUP(E151,'Base Original'!$B$4:$C$16,2,0)</f>
        <v>BAB</v>
      </c>
      <c r="G151" s="5" t="str">
        <f t="shared" si="46"/>
        <v>B</v>
      </c>
      <c r="H151" s="5" t="str">
        <f t="shared" si="47"/>
        <v>A</v>
      </c>
      <c r="I151" s="5" t="str">
        <f t="shared" si="48"/>
        <v>B</v>
      </c>
      <c r="J151" s="5" t="str">
        <f t="shared" si="49"/>
        <v>BA</v>
      </c>
      <c r="K151" s="5" t="str">
        <f t="shared" si="50"/>
        <v>BB</v>
      </c>
      <c r="L151" s="5" t="str">
        <f t="shared" si="51"/>
        <v>AB</v>
      </c>
      <c r="M151">
        <v>24.24</v>
      </c>
      <c r="R151" s="4">
        <f>(M59-AVERAGE($M$3:$M$290))^2</f>
        <v>2.2406347656252851E-2</v>
      </c>
      <c r="AI151"/>
    </row>
    <row r="152" spans="2:42" x14ac:dyDescent="0.25">
      <c r="B152" s="5" t="s">
        <v>26</v>
      </c>
      <c r="C152" s="5" t="s">
        <v>25</v>
      </c>
      <c r="D152" t="str">
        <f t="shared" si="45"/>
        <v>0706</v>
      </c>
      <c r="E152" s="5" t="s">
        <v>21</v>
      </c>
      <c r="F152" s="5" t="str">
        <f>VLOOKUP(E152,'Base Original'!$B$4:$C$16,2,0)</f>
        <v>BAA</v>
      </c>
      <c r="G152" s="5" t="str">
        <f t="shared" si="46"/>
        <v>B</v>
      </c>
      <c r="H152" s="5" t="str">
        <f t="shared" si="47"/>
        <v>A</v>
      </c>
      <c r="I152" s="5" t="str">
        <f t="shared" si="48"/>
        <v>A</v>
      </c>
      <c r="J152" s="5" t="str">
        <f t="shared" si="49"/>
        <v>BA</v>
      </c>
      <c r="K152" s="5" t="str">
        <f t="shared" si="50"/>
        <v>BA</v>
      </c>
      <c r="L152" s="5" t="str">
        <f t="shared" si="51"/>
        <v>AA</v>
      </c>
      <c r="M152">
        <v>24.64</v>
      </c>
      <c r="R152" s="4">
        <f>(M60-AVERAGE($M$3:$M$290))^2</f>
        <v>1.5868125976562815</v>
      </c>
      <c r="AI152"/>
    </row>
    <row r="153" spans="2:42" x14ac:dyDescent="0.25">
      <c r="B153" s="5" t="s">
        <v>26</v>
      </c>
      <c r="C153" s="5" t="s">
        <v>26</v>
      </c>
      <c r="D153" t="str">
        <f t="shared" si="45"/>
        <v>0707</v>
      </c>
      <c r="E153" s="5" t="s">
        <v>23</v>
      </c>
      <c r="F153" s="5" t="str">
        <f>VLOOKUP(E153,'Base Original'!$B$4:$C$16,2,0)</f>
        <v>ABA</v>
      </c>
      <c r="G153" s="5" t="str">
        <f t="shared" si="46"/>
        <v>A</v>
      </c>
      <c r="H153" s="5" t="str">
        <f t="shared" si="47"/>
        <v>B</v>
      </c>
      <c r="I153" s="5" t="str">
        <f t="shared" si="48"/>
        <v>A</v>
      </c>
      <c r="J153" s="5" t="str">
        <f t="shared" si="49"/>
        <v>AB</v>
      </c>
      <c r="K153" s="5" t="str">
        <f t="shared" si="50"/>
        <v>AA</v>
      </c>
      <c r="L153" s="5" t="str">
        <f t="shared" si="51"/>
        <v>BA</v>
      </c>
      <c r="M153">
        <v>24.46</v>
      </c>
      <c r="R153" s="4">
        <f>(M61-AVERAGE($M$3:$M$290))^2</f>
        <v>1.2168847656247461E-2</v>
      </c>
      <c r="AI153"/>
    </row>
    <row r="154" spans="2:42" x14ac:dyDescent="0.25">
      <c r="B154" s="5" t="s">
        <v>26</v>
      </c>
      <c r="C154" s="5" t="s">
        <v>27</v>
      </c>
      <c r="D154" t="str">
        <f t="shared" si="45"/>
        <v>0708</v>
      </c>
      <c r="E154" s="5" t="s">
        <v>20</v>
      </c>
      <c r="F154" s="5" t="str">
        <f>VLOOKUP(E154,'Base Original'!$B$4:$C$16,2,0)</f>
        <v>AAA</v>
      </c>
      <c r="G154" s="5" t="str">
        <f t="shared" si="46"/>
        <v>A</v>
      </c>
      <c r="H154" s="5" t="str">
        <f t="shared" si="47"/>
        <v>A</v>
      </c>
      <c r="I154" s="5" t="str">
        <f t="shared" si="48"/>
        <v>A</v>
      </c>
      <c r="J154" s="5" t="str">
        <f t="shared" si="49"/>
        <v>AA</v>
      </c>
      <c r="K154" s="5" t="str">
        <f t="shared" si="50"/>
        <v>AA</v>
      </c>
      <c r="L154" s="5" t="str">
        <f t="shared" si="51"/>
        <v>AA</v>
      </c>
      <c r="M154">
        <v>25.84</v>
      </c>
      <c r="R154" s="4">
        <f>(M62-AVERAGE($M$3:$M$290))^2</f>
        <v>1.6981347656246887E-2</v>
      </c>
      <c r="AI154"/>
    </row>
    <row r="155" spans="2:42" x14ac:dyDescent="0.25">
      <c r="B155" s="5" t="s">
        <v>26</v>
      </c>
      <c r="C155" s="5" t="s">
        <v>28</v>
      </c>
      <c r="D155" t="str">
        <f t="shared" si="45"/>
        <v>0709</v>
      </c>
      <c r="E155" s="5" t="s">
        <v>22</v>
      </c>
      <c r="F155" s="5" t="str">
        <f>VLOOKUP(E155,'Base Original'!$B$4:$C$16,2,0)</f>
        <v>CAA</v>
      </c>
      <c r="G155" s="5" t="str">
        <f t="shared" si="46"/>
        <v>C</v>
      </c>
      <c r="H155" s="5" t="str">
        <f t="shared" si="47"/>
        <v>A</v>
      </c>
      <c r="I155" s="5" t="str">
        <f t="shared" si="48"/>
        <v>A</v>
      </c>
      <c r="J155" s="5" t="str">
        <f t="shared" si="49"/>
        <v>CA</v>
      </c>
      <c r="K155" s="5" t="str">
        <f t="shared" si="50"/>
        <v>CA</v>
      </c>
      <c r="L155" s="5" t="str">
        <f t="shared" si="51"/>
        <v>AA</v>
      </c>
      <c r="M155">
        <v>23.87</v>
      </c>
      <c r="R155" s="4">
        <f>(M63-AVERAGE($M$3:$M$290))^2</f>
        <v>7.3068847656243857E-2</v>
      </c>
      <c r="AI155"/>
    </row>
    <row r="156" spans="2:42" x14ac:dyDescent="0.25">
      <c r="B156" s="5" t="s">
        <v>26</v>
      </c>
      <c r="C156" s="5">
        <v>10</v>
      </c>
      <c r="D156" t="str">
        <f t="shared" si="45"/>
        <v>0710</v>
      </c>
      <c r="E156" s="5" t="s">
        <v>28</v>
      </c>
      <c r="F156" s="5" t="str">
        <f>VLOOKUP(E156,'Base Original'!$B$4:$C$16,2,0)</f>
        <v>CBB</v>
      </c>
      <c r="G156" s="5" t="str">
        <f t="shared" si="46"/>
        <v>C</v>
      </c>
      <c r="H156" s="5" t="str">
        <f t="shared" si="47"/>
        <v>B</v>
      </c>
      <c r="I156" s="5" t="str">
        <f t="shared" si="48"/>
        <v>B</v>
      </c>
      <c r="J156" s="5" t="str">
        <f t="shared" si="49"/>
        <v>CB</v>
      </c>
      <c r="K156" s="5" t="str">
        <f t="shared" si="50"/>
        <v>CB</v>
      </c>
      <c r="L156" s="5" t="str">
        <f t="shared" si="51"/>
        <v>BB</v>
      </c>
      <c r="M156">
        <v>23.73</v>
      </c>
      <c r="R156" s="4">
        <f>(M64-AVERAGE($M$3:$M$290))^2</f>
        <v>8.8134765625071717E-4</v>
      </c>
      <c r="AI156"/>
    </row>
    <row r="157" spans="2:42" x14ac:dyDescent="0.25">
      <c r="B157" s="5" t="s">
        <v>26</v>
      </c>
      <c r="C157" s="5">
        <v>11</v>
      </c>
      <c r="D157" t="str">
        <f t="shared" si="45"/>
        <v>0711</v>
      </c>
      <c r="E157" s="5" t="s">
        <v>27</v>
      </c>
      <c r="F157" s="5" t="str">
        <f>VLOOKUP(E157,'Base Original'!$B$4:$C$16,2,0)</f>
        <v>BBB</v>
      </c>
      <c r="G157" s="5" t="str">
        <f t="shared" si="46"/>
        <v>B</v>
      </c>
      <c r="H157" s="5" t="str">
        <f t="shared" si="47"/>
        <v>B</v>
      </c>
      <c r="I157" s="5" t="str">
        <f t="shared" si="48"/>
        <v>B</v>
      </c>
      <c r="J157" s="5" t="str">
        <f t="shared" si="49"/>
        <v>BB</v>
      </c>
      <c r="K157" s="5" t="str">
        <f t="shared" si="50"/>
        <v>BB</v>
      </c>
      <c r="L157" s="5" t="str">
        <f t="shared" si="51"/>
        <v>BB</v>
      </c>
      <c r="M157">
        <v>23.13</v>
      </c>
      <c r="R157" s="4">
        <f>(M65-AVERAGE($M$3:$M$290))^2</f>
        <v>3.5709188476562934</v>
      </c>
      <c r="AI157"/>
    </row>
    <row r="158" spans="2:42" x14ac:dyDescent="0.25">
      <c r="B158" s="5" t="s">
        <v>26</v>
      </c>
      <c r="C158" s="5">
        <v>12</v>
      </c>
      <c r="D158" t="str">
        <f t="shared" si="45"/>
        <v>0712</v>
      </c>
      <c r="E158" s="5" t="s">
        <v>26</v>
      </c>
      <c r="F158" s="5" t="str">
        <f>VLOOKUP(E158,'Base Original'!$B$4:$C$16,2,0)</f>
        <v>ABB</v>
      </c>
      <c r="G158" s="5" t="str">
        <f t="shared" si="46"/>
        <v>A</v>
      </c>
      <c r="H158" s="5" t="str">
        <f t="shared" si="47"/>
        <v>B</v>
      </c>
      <c r="I158" s="5" t="str">
        <f t="shared" si="48"/>
        <v>B</v>
      </c>
      <c r="J158" s="5" t="str">
        <f t="shared" si="49"/>
        <v>AB</v>
      </c>
      <c r="K158" s="5" t="str">
        <f t="shared" si="50"/>
        <v>AB</v>
      </c>
      <c r="L158" s="5" t="str">
        <f t="shared" si="51"/>
        <v>BB</v>
      </c>
      <c r="M158">
        <v>26.41</v>
      </c>
      <c r="R158" s="4">
        <f>(M66-AVERAGE($M$3:$M$290))^2</f>
        <v>2.9006347656246854E-2</v>
      </c>
      <c r="AI158"/>
    </row>
    <row r="159" spans="2:42" x14ac:dyDescent="0.25">
      <c r="B159" s="5" t="s">
        <v>26</v>
      </c>
      <c r="C159" s="5" t="s">
        <v>20</v>
      </c>
      <c r="D159" t="str">
        <f t="shared" si="45"/>
        <v>0701</v>
      </c>
      <c r="E159" s="5" t="s">
        <v>25</v>
      </c>
      <c r="F159" s="5" t="str">
        <f>VLOOKUP(E159,'Base Original'!$B$4:$C$16,2,0)</f>
        <v>CBA</v>
      </c>
      <c r="G159" s="5" t="str">
        <f t="shared" si="46"/>
        <v>C</v>
      </c>
      <c r="H159" s="5" t="str">
        <f t="shared" si="47"/>
        <v>B</v>
      </c>
      <c r="I159" s="5" t="str">
        <f t="shared" si="48"/>
        <v>A</v>
      </c>
      <c r="J159" s="5" t="str">
        <f t="shared" si="49"/>
        <v>CB</v>
      </c>
      <c r="K159" s="5" t="str">
        <f t="shared" si="50"/>
        <v>CA</v>
      </c>
      <c r="L159" s="5" t="str">
        <f t="shared" si="51"/>
        <v>BA</v>
      </c>
      <c r="M159">
        <v>24.8</v>
      </c>
      <c r="R159" s="4">
        <f>(M67-AVERAGE($M$3:$M$290))^2</f>
        <v>2.1913250976562191</v>
      </c>
      <c r="AI159"/>
    </row>
    <row r="160" spans="2:42" x14ac:dyDescent="0.25">
      <c r="B160" s="5" t="s">
        <v>26</v>
      </c>
      <c r="C160" s="5" t="s">
        <v>21</v>
      </c>
      <c r="D160" t="str">
        <f t="shared" si="45"/>
        <v>0702</v>
      </c>
      <c r="E160" s="5" t="s">
        <v>24</v>
      </c>
      <c r="F160" s="5" t="str">
        <f>VLOOKUP(E160,'Base Original'!$B$4:$C$16,2,0)</f>
        <v>BBA</v>
      </c>
      <c r="G160" s="5" t="str">
        <f t="shared" si="46"/>
        <v>B</v>
      </c>
      <c r="H160" s="5" t="str">
        <f t="shared" si="47"/>
        <v>B</v>
      </c>
      <c r="I160" s="5" t="str">
        <f t="shared" si="48"/>
        <v>A</v>
      </c>
      <c r="J160" s="5" t="str">
        <f t="shared" si="49"/>
        <v>BB</v>
      </c>
      <c r="K160" s="5" t="str">
        <f t="shared" si="50"/>
        <v>BA</v>
      </c>
      <c r="L160" s="5" t="str">
        <f t="shared" si="51"/>
        <v>BA</v>
      </c>
      <c r="M160">
        <v>24.31</v>
      </c>
      <c r="R160" s="4">
        <f>(M68-AVERAGE($M$3:$M$290))^2</f>
        <v>0.44931884765623764</v>
      </c>
      <c r="AI160"/>
    </row>
    <row r="161" spans="2:35" x14ac:dyDescent="0.25">
      <c r="B161" s="5" t="s">
        <v>26</v>
      </c>
      <c r="C161" s="5" t="s">
        <v>22</v>
      </c>
      <c r="D161" t="str">
        <f t="shared" si="45"/>
        <v>0703</v>
      </c>
      <c r="E161" s="5">
        <v>10</v>
      </c>
      <c r="F161" s="5" t="str">
        <f>VLOOKUP(E161,'Base Original'!$B$4:$C$16,2,0)</f>
        <v>AAB</v>
      </c>
      <c r="G161" s="5" t="str">
        <f t="shared" si="46"/>
        <v>A</v>
      </c>
      <c r="H161" s="5" t="str">
        <f t="shared" si="47"/>
        <v>A</v>
      </c>
      <c r="I161" s="5" t="str">
        <f t="shared" si="48"/>
        <v>B</v>
      </c>
      <c r="J161" s="5" t="str">
        <f t="shared" si="49"/>
        <v>AA</v>
      </c>
      <c r="K161" s="5" t="str">
        <f t="shared" si="50"/>
        <v>AB</v>
      </c>
      <c r="L161" s="5" t="str">
        <f t="shared" si="51"/>
        <v>AB</v>
      </c>
      <c r="M161">
        <v>23.28</v>
      </c>
      <c r="R161" s="4">
        <f>(M69-AVERAGE($M$3:$M$290))^2</f>
        <v>1.060256347656275</v>
      </c>
      <c r="AI161"/>
    </row>
    <row r="162" spans="2:35" x14ac:dyDescent="0.25">
      <c r="B162" s="5" t="s">
        <v>26</v>
      </c>
      <c r="C162" s="5" t="s">
        <v>23</v>
      </c>
      <c r="D162" t="str">
        <f t="shared" si="45"/>
        <v>0704</v>
      </c>
      <c r="E162" s="5">
        <v>12</v>
      </c>
      <c r="F162" s="5" t="str">
        <f>VLOOKUP(E162,'Base Original'!$B$4:$C$16,2,0)</f>
        <v>CAB</v>
      </c>
      <c r="G162" s="5" t="str">
        <f t="shared" si="46"/>
        <v>C</v>
      </c>
      <c r="H162" s="5" t="str">
        <f t="shared" si="47"/>
        <v>A</v>
      </c>
      <c r="I162" s="5" t="str">
        <f t="shared" si="48"/>
        <v>B</v>
      </c>
      <c r="J162" s="5" t="str">
        <f t="shared" si="49"/>
        <v>CA</v>
      </c>
      <c r="K162" s="5" t="str">
        <f t="shared" si="50"/>
        <v>CB</v>
      </c>
      <c r="L162" s="5" t="str">
        <f t="shared" si="51"/>
        <v>AB</v>
      </c>
      <c r="M162">
        <v>23.58</v>
      </c>
      <c r="R162" s="4">
        <f>(M70-AVERAGE($M$3:$M$290))^2</f>
        <v>0.82866884765623039</v>
      </c>
      <c r="AI162"/>
    </row>
    <row r="163" spans="2:35" x14ac:dyDescent="0.25">
      <c r="B163" s="5" t="s">
        <v>26</v>
      </c>
      <c r="C163" s="5" t="s">
        <v>24</v>
      </c>
      <c r="D163" t="str">
        <f t="shared" si="45"/>
        <v>0705</v>
      </c>
      <c r="E163" s="5">
        <v>11</v>
      </c>
      <c r="F163" s="5" t="str">
        <f>VLOOKUP(E163,'Base Original'!$B$4:$C$16,2,0)</f>
        <v>BAB</v>
      </c>
      <c r="G163" s="5" t="str">
        <f t="shared" si="46"/>
        <v>B</v>
      </c>
      <c r="H163" s="5" t="str">
        <f t="shared" si="47"/>
        <v>A</v>
      </c>
      <c r="I163" s="5" t="str">
        <f t="shared" si="48"/>
        <v>B</v>
      </c>
      <c r="J163" s="5" t="str">
        <f t="shared" si="49"/>
        <v>BA</v>
      </c>
      <c r="K163" s="5" t="str">
        <f t="shared" si="50"/>
        <v>BB</v>
      </c>
      <c r="L163" s="5" t="str">
        <f t="shared" si="51"/>
        <v>AB</v>
      </c>
      <c r="M163">
        <v>24</v>
      </c>
      <c r="R163" s="4">
        <f>(M71-AVERAGE($M$3:$M$290))^2</f>
        <v>0.49043759765623368</v>
      </c>
      <c r="AI163"/>
    </row>
    <row r="164" spans="2:35" x14ac:dyDescent="0.25">
      <c r="B164" s="5" t="s">
        <v>26</v>
      </c>
      <c r="C164" s="5" t="s">
        <v>25</v>
      </c>
      <c r="D164" t="str">
        <f t="shared" si="45"/>
        <v>0706</v>
      </c>
      <c r="E164" s="5" t="s">
        <v>21</v>
      </c>
      <c r="F164" s="5" t="str">
        <f>VLOOKUP(E164,'Base Original'!$B$4:$C$16,2,0)</f>
        <v>BAA</v>
      </c>
      <c r="G164" s="5" t="str">
        <f t="shared" si="46"/>
        <v>B</v>
      </c>
      <c r="H164" s="5" t="str">
        <f t="shared" si="47"/>
        <v>A</v>
      </c>
      <c r="I164" s="5" t="str">
        <f t="shared" si="48"/>
        <v>A</v>
      </c>
      <c r="J164" s="5" t="str">
        <f t="shared" si="49"/>
        <v>BA</v>
      </c>
      <c r="K164" s="5" t="str">
        <f t="shared" si="50"/>
        <v>BA</v>
      </c>
      <c r="L164" s="5" t="str">
        <f t="shared" si="51"/>
        <v>AA</v>
      </c>
      <c r="M164">
        <v>24.51</v>
      </c>
      <c r="R164" s="4">
        <f>(M72-AVERAGE($M$3:$M$290))^2</f>
        <v>0.57712509765626896</v>
      </c>
      <c r="AI164"/>
    </row>
    <row r="165" spans="2:35" x14ac:dyDescent="0.25">
      <c r="B165" s="5" t="s">
        <v>26</v>
      </c>
      <c r="C165" s="5" t="s">
        <v>26</v>
      </c>
      <c r="D165" t="str">
        <f t="shared" si="45"/>
        <v>0707</v>
      </c>
      <c r="E165" s="5" t="s">
        <v>23</v>
      </c>
      <c r="F165" s="5" t="str">
        <f>VLOOKUP(E165,'Base Original'!$B$4:$C$16,2,0)</f>
        <v>ABA</v>
      </c>
      <c r="G165" s="5" t="str">
        <f t="shared" si="46"/>
        <v>A</v>
      </c>
      <c r="H165" s="5" t="str">
        <f t="shared" si="47"/>
        <v>B</v>
      </c>
      <c r="I165" s="5" t="str">
        <f t="shared" si="48"/>
        <v>A</v>
      </c>
      <c r="J165" s="5" t="str">
        <f t="shared" si="49"/>
        <v>AB</v>
      </c>
      <c r="K165" s="5" t="str">
        <f t="shared" si="50"/>
        <v>AA</v>
      </c>
      <c r="L165" s="5" t="str">
        <f t="shared" si="51"/>
        <v>BA</v>
      </c>
      <c r="M165">
        <v>24.97</v>
      </c>
      <c r="R165" s="4">
        <f>(M73-AVERAGE($M$3:$M$290))^2</f>
        <v>0.63950009765626858</v>
      </c>
      <c r="AI165"/>
    </row>
    <row r="166" spans="2:35" x14ac:dyDescent="0.25">
      <c r="B166" s="5" t="s">
        <v>26</v>
      </c>
      <c r="C166" s="5" t="s">
        <v>27</v>
      </c>
      <c r="D166" t="str">
        <f t="shared" si="45"/>
        <v>0708</v>
      </c>
      <c r="E166" s="5" t="s">
        <v>20</v>
      </c>
      <c r="F166" s="5" t="str">
        <f>VLOOKUP(E166,'Base Original'!$B$4:$C$16,2,0)</f>
        <v>AAA</v>
      </c>
      <c r="G166" s="5" t="str">
        <f t="shared" si="46"/>
        <v>A</v>
      </c>
      <c r="H166" s="5" t="str">
        <f t="shared" si="47"/>
        <v>A</v>
      </c>
      <c r="I166" s="5" t="str">
        <f t="shared" si="48"/>
        <v>A</v>
      </c>
      <c r="J166" s="5" t="str">
        <f t="shared" si="49"/>
        <v>AA</v>
      </c>
      <c r="K166" s="5" t="str">
        <f t="shared" si="50"/>
        <v>AA</v>
      </c>
      <c r="L166" s="5" t="str">
        <f t="shared" si="51"/>
        <v>AA</v>
      </c>
      <c r="M166">
        <v>24.19</v>
      </c>
      <c r="R166" s="4">
        <f>(M74-AVERAGE($M$3:$M$290))^2</f>
        <v>3.621884765624632E-2</v>
      </c>
      <c r="AI166"/>
    </row>
    <row r="167" spans="2:35" x14ac:dyDescent="0.25">
      <c r="B167" s="5" t="s">
        <v>26</v>
      </c>
      <c r="C167" s="5" t="s">
        <v>28</v>
      </c>
      <c r="D167" t="str">
        <f t="shared" si="45"/>
        <v>0709</v>
      </c>
      <c r="E167" s="5" t="s">
        <v>22</v>
      </c>
      <c r="F167" s="5" t="str">
        <f>VLOOKUP(E167,'Base Original'!$B$4:$C$16,2,0)</f>
        <v>CAA</v>
      </c>
      <c r="G167" s="5" t="str">
        <f t="shared" si="46"/>
        <v>C</v>
      </c>
      <c r="H167" s="5" t="str">
        <f t="shared" si="47"/>
        <v>A</v>
      </c>
      <c r="I167" s="5" t="str">
        <f t="shared" si="48"/>
        <v>A</v>
      </c>
      <c r="J167" s="5" t="str">
        <f t="shared" si="49"/>
        <v>CA</v>
      </c>
      <c r="K167" s="5" t="str">
        <f t="shared" si="50"/>
        <v>CA</v>
      </c>
      <c r="L167" s="5" t="str">
        <f t="shared" si="51"/>
        <v>AA</v>
      </c>
      <c r="M167">
        <v>23.86</v>
      </c>
      <c r="R167" s="4">
        <f>(M75-AVERAGE($M$3:$M$290))^2</f>
        <v>0.33676259765623534</v>
      </c>
      <c r="AI167"/>
    </row>
    <row r="168" spans="2:35" x14ac:dyDescent="0.25">
      <c r="B168" s="5" t="s">
        <v>26</v>
      </c>
      <c r="C168" s="5">
        <v>10</v>
      </c>
      <c r="D168" t="str">
        <f t="shared" si="45"/>
        <v>0710</v>
      </c>
      <c r="E168" s="5" t="s">
        <v>28</v>
      </c>
      <c r="F168" s="5" t="str">
        <f>VLOOKUP(E168,'Base Original'!$B$4:$C$16,2,0)</f>
        <v>CBB</v>
      </c>
      <c r="G168" s="5" t="str">
        <f t="shared" si="46"/>
        <v>C</v>
      </c>
      <c r="H168" s="5" t="str">
        <f t="shared" si="47"/>
        <v>B</v>
      </c>
      <c r="I168" s="5" t="str">
        <f t="shared" si="48"/>
        <v>B</v>
      </c>
      <c r="J168" s="5" t="str">
        <f t="shared" si="49"/>
        <v>CB</v>
      </c>
      <c r="K168" s="5" t="str">
        <f t="shared" si="50"/>
        <v>CB</v>
      </c>
      <c r="L168" s="5" t="str">
        <f t="shared" si="51"/>
        <v>BB</v>
      </c>
      <c r="M168">
        <v>23.42</v>
      </c>
      <c r="R168" s="4">
        <f>(M76-AVERAGE($M$3:$M$290))^2</f>
        <v>0.67291259765623246</v>
      </c>
      <c r="AI168"/>
    </row>
    <row r="169" spans="2:35" x14ac:dyDescent="0.25">
      <c r="B169" s="5" t="s">
        <v>26</v>
      </c>
      <c r="C169" s="5">
        <v>11</v>
      </c>
      <c r="D169" t="str">
        <f t="shared" si="45"/>
        <v>0711</v>
      </c>
      <c r="E169" s="5" t="s">
        <v>27</v>
      </c>
      <c r="F169" s="5" t="str">
        <f>VLOOKUP(E169,'Base Original'!$B$4:$C$16,2,0)</f>
        <v>BBB</v>
      </c>
      <c r="G169" s="5" t="str">
        <f t="shared" si="46"/>
        <v>B</v>
      </c>
      <c r="H169" s="5" t="str">
        <f t="shared" si="47"/>
        <v>B</v>
      </c>
      <c r="I169" s="5" t="str">
        <f t="shared" si="48"/>
        <v>B</v>
      </c>
      <c r="J169" s="5" t="str">
        <f t="shared" si="49"/>
        <v>BB</v>
      </c>
      <c r="K169" s="5" t="str">
        <f t="shared" si="50"/>
        <v>BB</v>
      </c>
      <c r="L169" s="5" t="str">
        <f t="shared" si="51"/>
        <v>BB</v>
      </c>
      <c r="M169">
        <v>23.1</v>
      </c>
      <c r="R169" s="4">
        <f>(M77-AVERAGE($M$3:$M$290))^2</f>
        <v>1.9608750976562155</v>
      </c>
      <c r="AI169"/>
    </row>
    <row r="170" spans="2:35" x14ac:dyDescent="0.25">
      <c r="B170" s="5" t="s">
        <v>26</v>
      </c>
      <c r="C170" s="5">
        <v>12</v>
      </c>
      <c r="D170" t="str">
        <f t="shared" si="45"/>
        <v>0712</v>
      </c>
      <c r="E170" s="5" t="s">
        <v>26</v>
      </c>
      <c r="F170" s="5" t="str">
        <f>VLOOKUP(E170,'Base Original'!$B$4:$C$16,2,0)</f>
        <v>ABB</v>
      </c>
      <c r="G170" s="5" t="str">
        <f t="shared" si="46"/>
        <v>A</v>
      </c>
      <c r="H170" s="5" t="str">
        <f t="shared" si="47"/>
        <v>B</v>
      </c>
      <c r="I170" s="5" t="str">
        <f t="shared" si="48"/>
        <v>B</v>
      </c>
      <c r="J170" s="5" t="str">
        <f t="shared" si="49"/>
        <v>AB</v>
      </c>
      <c r="K170" s="5" t="str">
        <f t="shared" si="50"/>
        <v>AB</v>
      </c>
      <c r="L170" s="5" t="str">
        <f t="shared" si="51"/>
        <v>BB</v>
      </c>
      <c r="M170">
        <v>23.87</v>
      </c>
      <c r="R170" s="4">
        <f>(M78-AVERAGE($M$3:$M$290))^2</f>
        <v>6.2656347656244518E-2</v>
      </c>
      <c r="AI170"/>
    </row>
    <row r="171" spans="2:35" x14ac:dyDescent="0.25">
      <c r="B171" s="5" t="s">
        <v>27</v>
      </c>
      <c r="C171" s="5" t="s">
        <v>20</v>
      </c>
      <c r="D171" t="str">
        <f t="shared" si="45"/>
        <v>0801</v>
      </c>
      <c r="E171" s="5" t="s">
        <v>26</v>
      </c>
      <c r="F171" s="5" t="str">
        <f>VLOOKUP(E171,'Base Original'!$B$4:$C$16,2,0)</f>
        <v>ABB</v>
      </c>
      <c r="G171" s="5" t="str">
        <f t="shared" si="46"/>
        <v>A</v>
      </c>
      <c r="H171" s="5" t="str">
        <f t="shared" si="47"/>
        <v>B</v>
      </c>
      <c r="I171" s="5" t="str">
        <f t="shared" si="48"/>
        <v>B</v>
      </c>
      <c r="J171" s="5" t="str">
        <f t="shared" si="49"/>
        <v>AB</v>
      </c>
      <c r="K171" s="5" t="str">
        <f t="shared" si="50"/>
        <v>AB</v>
      </c>
      <c r="L171" s="5" t="str">
        <f t="shared" si="51"/>
        <v>BB</v>
      </c>
      <c r="M171">
        <v>24.06</v>
      </c>
      <c r="R171" s="4">
        <f>(M79-AVERAGE($M$3:$M$290))^2</f>
        <v>0.88418759765623178</v>
      </c>
      <c r="AI171"/>
    </row>
    <row r="172" spans="2:35" x14ac:dyDescent="0.25">
      <c r="B172" s="5" t="s">
        <v>27</v>
      </c>
      <c r="C172" s="5" t="s">
        <v>21</v>
      </c>
      <c r="D172" t="str">
        <f t="shared" si="45"/>
        <v>0802</v>
      </c>
      <c r="E172" s="5" t="s">
        <v>21</v>
      </c>
      <c r="F172" s="5" t="str">
        <f>VLOOKUP(E172,'Base Original'!$B$4:$C$16,2,0)</f>
        <v>BAA</v>
      </c>
      <c r="G172" s="5" t="str">
        <f t="shared" si="46"/>
        <v>B</v>
      </c>
      <c r="H172" s="5" t="str">
        <f t="shared" si="47"/>
        <v>A</v>
      </c>
      <c r="I172" s="5" t="str">
        <f t="shared" si="48"/>
        <v>A</v>
      </c>
      <c r="J172" s="5" t="str">
        <f t="shared" si="49"/>
        <v>BA</v>
      </c>
      <c r="K172" s="5" t="str">
        <f t="shared" si="50"/>
        <v>BA</v>
      </c>
      <c r="L172" s="5" t="str">
        <f t="shared" si="51"/>
        <v>AA</v>
      </c>
      <c r="M172">
        <v>22.62</v>
      </c>
      <c r="R172" s="4">
        <f>(M80-AVERAGE($M$3:$M$290))^2</f>
        <v>0.9794813476562686</v>
      </c>
      <c r="AI172"/>
    </row>
    <row r="173" spans="2:35" x14ac:dyDescent="0.25">
      <c r="B173" s="5" t="s">
        <v>27</v>
      </c>
      <c r="C173" s="5" t="s">
        <v>22</v>
      </c>
      <c r="D173" t="str">
        <f t="shared" si="45"/>
        <v>0803</v>
      </c>
      <c r="E173" s="5" t="s">
        <v>28</v>
      </c>
      <c r="F173" s="5" t="str">
        <f>VLOOKUP(E173,'Base Original'!$B$4:$C$16,2,0)</f>
        <v>CBB</v>
      </c>
      <c r="G173" s="5" t="str">
        <f t="shared" si="46"/>
        <v>C</v>
      </c>
      <c r="H173" s="5" t="str">
        <f t="shared" si="47"/>
        <v>B</v>
      </c>
      <c r="I173" s="5" t="str">
        <f t="shared" si="48"/>
        <v>B</v>
      </c>
      <c r="J173" s="5" t="str">
        <f t="shared" si="49"/>
        <v>CB</v>
      </c>
      <c r="K173" s="5" t="str">
        <f t="shared" si="50"/>
        <v>CB</v>
      </c>
      <c r="L173" s="5" t="str">
        <f t="shared" si="51"/>
        <v>BB</v>
      </c>
      <c r="M173">
        <v>23.24</v>
      </c>
      <c r="R173" s="4">
        <f>(M81-AVERAGE($M$3:$M$290))^2</f>
        <v>0.47653134765623667</v>
      </c>
      <c r="AI173"/>
    </row>
    <row r="174" spans="2:35" x14ac:dyDescent="0.25">
      <c r="B174" s="5" t="s">
        <v>27</v>
      </c>
      <c r="C174" s="5" t="s">
        <v>23</v>
      </c>
      <c r="D174" t="str">
        <f t="shared" si="45"/>
        <v>0804</v>
      </c>
      <c r="E174" s="5" t="s">
        <v>22</v>
      </c>
      <c r="F174" s="5" t="str">
        <f>VLOOKUP(E174,'Base Original'!$B$4:$C$16,2,0)</f>
        <v>CAA</v>
      </c>
      <c r="G174" s="5" t="str">
        <f t="shared" si="46"/>
        <v>C</v>
      </c>
      <c r="H174" s="5" t="str">
        <f t="shared" si="47"/>
        <v>A</v>
      </c>
      <c r="I174" s="5" t="str">
        <f t="shared" si="48"/>
        <v>A</v>
      </c>
      <c r="J174" s="5" t="str">
        <f t="shared" si="49"/>
        <v>CA</v>
      </c>
      <c r="K174" s="5" t="str">
        <f t="shared" si="50"/>
        <v>CA</v>
      </c>
      <c r="L174" s="5" t="str">
        <f t="shared" si="51"/>
        <v>AA</v>
      </c>
      <c r="M174">
        <v>23.98</v>
      </c>
      <c r="R174" s="4">
        <f>(M82-AVERAGE($M$3:$M$290))^2</f>
        <v>0.44848134765626696</v>
      </c>
      <c r="AI174"/>
    </row>
    <row r="175" spans="2:35" x14ac:dyDescent="0.25">
      <c r="B175" s="5" t="s">
        <v>27</v>
      </c>
      <c r="C175" s="5" t="s">
        <v>24</v>
      </c>
      <c r="D175" t="str">
        <f t="shared" si="45"/>
        <v>0805</v>
      </c>
      <c r="E175" s="5" t="s">
        <v>25</v>
      </c>
      <c r="F175" s="5" t="str">
        <f>VLOOKUP(E175,'Base Original'!$B$4:$C$16,2,0)</f>
        <v>CBA</v>
      </c>
      <c r="G175" s="5" t="str">
        <f t="shared" si="46"/>
        <v>C</v>
      </c>
      <c r="H175" s="5" t="str">
        <f t="shared" si="47"/>
        <v>B</v>
      </c>
      <c r="I175" s="5" t="str">
        <f t="shared" si="48"/>
        <v>A</v>
      </c>
      <c r="J175" s="5" t="str">
        <f t="shared" si="49"/>
        <v>CB</v>
      </c>
      <c r="K175" s="5" t="str">
        <f t="shared" si="50"/>
        <v>CA</v>
      </c>
      <c r="L175" s="5" t="str">
        <f t="shared" si="51"/>
        <v>BA</v>
      </c>
      <c r="M175">
        <v>25.57</v>
      </c>
      <c r="R175" s="4">
        <f>(M83-AVERAGE($M$3:$M$290))^2</f>
        <v>5.1061875976563069</v>
      </c>
      <c r="AI175"/>
    </row>
    <row r="176" spans="2:35" x14ac:dyDescent="0.25">
      <c r="B176" s="5" t="s">
        <v>27</v>
      </c>
      <c r="C176" s="5" t="s">
        <v>25</v>
      </c>
      <c r="D176" t="str">
        <f t="shared" si="45"/>
        <v>0806</v>
      </c>
      <c r="E176" s="5">
        <v>12</v>
      </c>
      <c r="F176" s="5" t="str">
        <f>VLOOKUP(E176,'Base Original'!$B$4:$C$16,2,0)</f>
        <v>CAB</v>
      </c>
      <c r="G176" s="5" t="str">
        <f t="shared" si="46"/>
        <v>C</v>
      </c>
      <c r="H176" s="5" t="str">
        <f t="shared" si="47"/>
        <v>A</v>
      </c>
      <c r="I176" s="5" t="str">
        <f t="shared" si="48"/>
        <v>B</v>
      </c>
      <c r="J176" s="5" t="str">
        <f t="shared" si="49"/>
        <v>CA</v>
      </c>
      <c r="K176" s="5" t="str">
        <f t="shared" si="50"/>
        <v>CB</v>
      </c>
      <c r="L176" s="5" t="str">
        <f t="shared" si="51"/>
        <v>AB</v>
      </c>
      <c r="M176">
        <v>23.84</v>
      </c>
      <c r="R176" s="4">
        <f>(M84-AVERAGE($M$3:$M$290))^2</f>
        <v>6.2343847656255467E-2</v>
      </c>
      <c r="AI176"/>
    </row>
    <row r="177" spans="2:35" x14ac:dyDescent="0.25">
      <c r="B177" s="5" t="s">
        <v>27</v>
      </c>
      <c r="C177" s="5" t="s">
        <v>26</v>
      </c>
      <c r="D177" t="str">
        <f t="shared" si="45"/>
        <v>0807</v>
      </c>
      <c r="E177" s="5">
        <v>10</v>
      </c>
      <c r="F177" s="5" t="str">
        <f>VLOOKUP(E177,'Base Original'!$B$4:$C$16,2,0)</f>
        <v>AAB</v>
      </c>
      <c r="G177" s="5" t="str">
        <f t="shared" si="46"/>
        <v>A</v>
      </c>
      <c r="H177" s="5" t="str">
        <f t="shared" si="47"/>
        <v>A</v>
      </c>
      <c r="I177" s="5" t="str">
        <f t="shared" si="48"/>
        <v>B</v>
      </c>
      <c r="J177" s="5" t="str">
        <f t="shared" si="49"/>
        <v>AA</v>
      </c>
      <c r="K177" s="5" t="str">
        <f t="shared" si="50"/>
        <v>AB</v>
      </c>
      <c r="L177" s="5" t="str">
        <f t="shared" si="51"/>
        <v>AB</v>
      </c>
      <c r="M177">
        <v>22.78</v>
      </c>
      <c r="R177" s="4">
        <f>(M85-AVERAGE($M$3:$M$290))^2</f>
        <v>2.8550438476562912</v>
      </c>
      <c r="AI177"/>
    </row>
    <row r="178" spans="2:35" x14ac:dyDescent="0.25">
      <c r="B178" s="5" t="s">
        <v>27</v>
      </c>
      <c r="C178" s="5" t="s">
        <v>27</v>
      </c>
      <c r="D178" t="str">
        <f t="shared" si="45"/>
        <v>0808</v>
      </c>
      <c r="E178" s="5" t="s">
        <v>23</v>
      </c>
      <c r="F178" s="5" t="str">
        <f>VLOOKUP(E178,'Base Original'!$B$4:$C$16,2,0)</f>
        <v>ABA</v>
      </c>
      <c r="G178" s="5" t="str">
        <f t="shared" si="46"/>
        <v>A</v>
      </c>
      <c r="H178" s="5" t="str">
        <f t="shared" si="47"/>
        <v>B</v>
      </c>
      <c r="I178" s="5" t="str">
        <f t="shared" si="48"/>
        <v>A</v>
      </c>
      <c r="J178" s="5" t="str">
        <f t="shared" si="49"/>
        <v>AB</v>
      </c>
      <c r="K178" s="5" t="str">
        <f t="shared" si="50"/>
        <v>AA</v>
      </c>
      <c r="L178" s="5" t="str">
        <f t="shared" si="51"/>
        <v>BA</v>
      </c>
      <c r="M178">
        <v>25.39</v>
      </c>
      <c r="R178" s="4">
        <f>(M86-AVERAGE($M$3:$M$290))^2</f>
        <v>2.9006347656246854E-2</v>
      </c>
      <c r="AI178"/>
    </row>
    <row r="179" spans="2:35" x14ac:dyDescent="0.25">
      <c r="B179" s="5" t="s">
        <v>27</v>
      </c>
      <c r="C179" s="5" t="s">
        <v>28</v>
      </c>
      <c r="D179" t="str">
        <f t="shared" si="45"/>
        <v>0809</v>
      </c>
      <c r="E179" s="5">
        <v>11</v>
      </c>
      <c r="F179" s="5" t="str">
        <f>VLOOKUP(E179,'Base Original'!$B$4:$C$16,2,0)</f>
        <v>BAB</v>
      </c>
      <c r="G179" s="5" t="str">
        <f t="shared" si="46"/>
        <v>B</v>
      </c>
      <c r="H179" s="5" t="str">
        <f t="shared" si="47"/>
        <v>A</v>
      </c>
      <c r="I179" s="5" t="str">
        <f t="shared" si="48"/>
        <v>B</v>
      </c>
      <c r="J179" s="5" t="str">
        <f t="shared" si="49"/>
        <v>BA</v>
      </c>
      <c r="K179" s="5" t="str">
        <f t="shared" si="50"/>
        <v>BB</v>
      </c>
      <c r="L179" s="5" t="str">
        <f t="shared" si="51"/>
        <v>AB</v>
      </c>
      <c r="M179">
        <v>24.35</v>
      </c>
      <c r="R179" s="4">
        <f>(M87-AVERAGE($M$3:$M$290))^2</f>
        <v>0.11538759765625733</v>
      </c>
      <c r="AI179"/>
    </row>
    <row r="180" spans="2:35" x14ac:dyDescent="0.25">
      <c r="B180" s="5" t="s">
        <v>27</v>
      </c>
      <c r="C180" s="5">
        <v>10</v>
      </c>
      <c r="D180" t="str">
        <f t="shared" si="45"/>
        <v>0810</v>
      </c>
      <c r="E180" s="5" t="s">
        <v>20</v>
      </c>
      <c r="F180" s="5" t="str">
        <f>VLOOKUP(E180,'Base Original'!$B$4:$C$16,2,0)</f>
        <v>AAA</v>
      </c>
      <c r="G180" s="5" t="str">
        <f t="shared" si="46"/>
        <v>A</v>
      </c>
      <c r="H180" s="5" t="str">
        <f t="shared" si="47"/>
        <v>A</v>
      </c>
      <c r="I180" s="5" t="str">
        <f t="shared" si="48"/>
        <v>A</v>
      </c>
      <c r="J180" s="5" t="str">
        <f t="shared" si="49"/>
        <v>AA</v>
      </c>
      <c r="K180" s="5" t="str">
        <f t="shared" si="50"/>
        <v>AA</v>
      </c>
      <c r="L180" s="5" t="str">
        <f t="shared" si="51"/>
        <v>AA</v>
      </c>
      <c r="M180">
        <v>25.5</v>
      </c>
      <c r="R180" s="4">
        <f>(M88-AVERAGE($M$3:$M$290))^2</f>
        <v>4.4231347656245756E-2</v>
      </c>
      <c r="AI180"/>
    </row>
    <row r="181" spans="2:35" x14ac:dyDescent="0.25">
      <c r="B181" s="5" t="s">
        <v>27</v>
      </c>
      <c r="C181" s="5">
        <v>11</v>
      </c>
      <c r="D181" t="str">
        <f t="shared" si="45"/>
        <v>0811</v>
      </c>
      <c r="E181" s="5" t="s">
        <v>24</v>
      </c>
      <c r="F181" s="5" t="str">
        <f>VLOOKUP(E181,'Base Original'!$B$4:$C$16,2,0)</f>
        <v>BBA</v>
      </c>
      <c r="G181" s="5" t="str">
        <f t="shared" si="46"/>
        <v>B</v>
      </c>
      <c r="H181" s="5" t="str">
        <f t="shared" si="47"/>
        <v>B</v>
      </c>
      <c r="I181" s="5" t="str">
        <f t="shared" si="48"/>
        <v>A</v>
      </c>
      <c r="J181" s="5" t="str">
        <f t="shared" si="49"/>
        <v>BB</v>
      </c>
      <c r="K181" s="5" t="str">
        <f t="shared" si="50"/>
        <v>BA</v>
      </c>
      <c r="L181" s="5" t="str">
        <f t="shared" si="51"/>
        <v>BA</v>
      </c>
      <c r="M181">
        <v>24.2</v>
      </c>
      <c r="R181" s="4">
        <f>(M89-AVERAGE($M$3:$M$290))^2</f>
        <v>0.68941884765622896</v>
      </c>
      <c r="AI181"/>
    </row>
    <row r="182" spans="2:35" x14ac:dyDescent="0.25">
      <c r="B182" s="5" t="s">
        <v>27</v>
      </c>
      <c r="C182" s="5">
        <v>12</v>
      </c>
      <c r="D182" t="str">
        <f t="shared" si="45"/>
        <v>0812</v>
      </c>
      <c r="E182" s="5" t="s">
        <v>27</v>
      </c>
      <c r="F182" s="5" t="str">
        <f>VLOOKUP(E182,'Base Original'!$B$4:$C$16,2,0)</f>
        <v>BBB</v>
      </c>
      <c r="G182" s="5" t="str">
        <f t="shared" si="46"/>
        <v>B</v>
      </c>
      <c r="H182" s="5" t="str">
        <f t="shared" si="47"/>
        <v>B</v>
      </c>
      <c r="I182" s="5" t="str">
        <f t="shared" si="48"/>
        <v>B</v>
      </c>
      <c r="J182" s="5" t="str">
        <f t="shared" si="49"/>
        <v>BB</v>
      </c>
      <c r="K182" s="5" t="str">
        <f t="shared" si="50"/>
        <v>BB</v>
      </c>
      <c r="L182" s="5" t="str">
        <f t="shared" si="51"/>
        <v>BB</v>
      </c>
      <c r="M182">
        <v>25.11</v>
      </c>
      <c r="R182" s="4">
        <f>(M90-AVERAGE($M$3:$M$290))^2</f>
        <v>0.84697509765623302</v>
      </c>
      <c r="AI182"/>
    </row>
    <row r="183" spans="2:35" x14ac:dyDescent="0.25">
      <c r="B183" s="5" t="s">
        <v>27</v>
      </c>
      <c r="C183" s="5" t="s">
        <v>20</v>
      </c>
      <c r="D183" t="str">
        <f t="shared" si="45"/>
        <v>0801</v>
      </c>
      <c r="E183" s="5" t="s">
        <v>26</v>
      </c>
      <c r="F183" s="5" t="str">
        <f>VLOOKUP(E183,'Base Original'!$B$4:$C$16,2,0)</f>
        <v>ABB</v>
      </c>
      <c r="G183" s="5" t="str">
        <f t="shared" si="46"/>
        <v>A</v>
      </c>
      <c r="H183" s="5" t="str">
        <f t="shared" si="47"/>
        <v>B</v>
      </c>
      <c r="I183" s="5" t="str">
        <f t="shared" si="48"/>
        <v>B</v>
      </c>
      <c r="J183" s="5" t="str">
        <f t="shared" si="49"/>
        <v>AB</v>
      </c>
      <c r="K183" s="5" t="str">
        <f t="shared" si="50"/>
        <v>AB</v>
      </c>
      <c r="L183" s="5" t="str">
        <f t="shared" si="51"/>
        <v>BB</v>
      </c>
      <c r="M183">
        <v>22.58</v>
      </c>
      <c r="R183" s="4">
        <f>(M91-AVERAGE($M$3:$M$290))^2</f>
        <v>1.4325097656252858E-2</v>
      </c>
      <c r="AI183"/>
    </row>
    <row r="184" spans="2:35" x14ac:dyDescent="0.25">
      <c r="B184" s="5" t="s">
        <v>27</v>
      </c>
      <c r="C184" s="5" t="s">
        <v>21</v>
      </c>
      <c r="D184" t="str">
        <f t="shared" si="45"/>
        <v>0802</v>
      </c>
      <c r="E184" s="5" t="s">
        <v>21</v>
      </c>
      <c r="F184" s="5" t="str">
        <f>VLOOKUP(E184,'Base Original'!$B$4:$C$16,2,0)</f>
        <v>BAA</v>
      </c>
      <c r="G184" s="5" t="str">
        <f t="shared" si="46"/>
        <v>B</v>
      </c>
      <c r="H184" s="5" t="str">
        <f t="shared" si="47"/>
        <v>A</v>
      </c>
      <c r="I184" s="5" t="str">
        <f t="shared" si="48"/>
        <v>A</v>
      </c>
      <c r="J184" s="5" t="str">
        <f t="shared" si="49"/>
        <v>BA</v>
      </c>
      <c r="K184" s="5" t="str">
        <f t="shared" si="50"/>
        <v>BA</v>
      </c>
      <c r="L184" s="5" t="str">
        <f t="shared" si="51"/>
        <v>AA</v>
      </c>
      <c r="M184">
        <v>25.43</v>
      </c>
      <c r="R184" s="4">
        <f>(M92-AVERAGE($M$3:$M$290))^2</f>
        <v>8.1563476562479982E-3</v>
      </c>
      <c r="AI184"/>
    </row>
    <row r="185" spans="2:35" x14ac:dyDescent="0.25">
      <c r="B185" s="5" t="s">
        <v>27</v>
      </c>
      <c r="C185" s="5" t="s">
        <v>22</v>
      </c>
      <c r="D185" t="str">
        <f t="shared" si="45"/>
        <v>0803</v>
      </c>
      <c r="E185" s="5" t="s">
        <v>28</v>
      </c>
      <c r="F185" s="5" t="str">
        <f>VLOOKUP(E185,'Base Original'!$B$4:$C$16,2,0)</f>
        <v>CBB</v>
      </c>
      <c r="G185" s="5" t="str">
        <f t="shared" si="46"/>
        <v>C</v>
      </c>
      <c r="H185" s="5" t="str">
        <f t="shared" si="47"/>
        <v>B</v>
      </c>
      <c r="I185" s="5" t="str">
        <f t="shared" si="48"/>
        <v>B</v>
      </c>
      <c r="J185" s="5" t="str">
        <f t="shared" si="49"/>
        <v>CB</v>
      </c>
      <c r="K185" s="5" t="str">
        <f t="shared" si="50"/>
        <v>CB</v>
      </c>
      <c r="L185" s="5" t="str">
        <f t="shared" si="51"/>
        <v>BB</v>
      </c>
      <c r="M185">
        <v>25.34</v>
      </c>
      <c r="R185" s="4">
        <f>(M93-AVERAGE($M$3:$M$290))^2</f>
        <v>0.41000009765623674</v>
      </c>
      <c r="AI185"/>
    </row>
    <row r="186" spans="2:35" x14ac:dyDescent="0.25">
      <c r="B186" s="5" t="s">
        <v>27</v>
      </c>
      <c r="C186" s="5" t="s">
        <v>23</v>
      </c>
      <c r="D186" t="str">
        <f t="shared" si="45"/>
        <v>0804</v>
      </c>
      <c r="E186" s="5" t="s">
        <v>22</v>
      </c>
      <c r="F186" s="5" t="str">
        <f>VLOOKUP(E186,'Base Original'!$B$4:$C$16,2,0)</f>
        <v>CAA</v>
      </c>
      <c r="G186" s="5" t="str">
        <f t="shared" si="46"/>
        <v>C</v>
      </c>
      <c r="H186" s="5" t="str">
        <f t="shared" si="47"/>
        <v>A</v>
      </c>
      <c r="I186" s="5" t="str">
        <f t="shared" si="48"/>
        <v>A</v>
      </c>
      <c r="J186" s="5" t="str">
        <f t="shared" si="49"/>
        <v>CA</v>
      </c>
      <c r="K186" s="5" t="str">
        <f t="shared" si="50"/>
        <v>CA</v>
      </c>
      <c r="L186" s="5" t="str">
        <f t="shared" si="51"/>
        <v>AA</v>
      </c>
      <c r="M186">
        <v>24.91</v>
      </c>
      <c r="R186" s="4">
        <f>(M94-AVERAGE($M$3:$M$290))^2</f>
        <v>0.72303134765623378</v>
      </c>
      <c r="AI186"/>
    </row>
    <row r="187" spans="2:35" x14ac:dyDescent="0.25">
      <c r="B187" s="5" t="s">
        <v>27</v>
      </c>
      <c r="C187" s="5" t="s">
        <v>24</v>
      </c>
      <c r="D187" t="str">
        <f t="shared" si="45"/>
        <v>0805</v>
      </c>
      <c r="E187" s="5" t="s">
        <v>25</v>
      </c>
      <c r="F187" s="5" t="str">
        <f>VLOOKUP(E187,'Base Original'!$B$4:$C$16,2,0)</f>
        <v>CBA</v>
      </c>
      <c r="G187" s="5" t="str">
        <f t="shared" si="46"/>
        <v>C</v>
      </c>
      <c r="H187" s="5" t="str">
        <f t="shared" si="47"/>
        <v>B</v>
      </c>
      <c r="I187" s="5" t="str">
        <f t="shared" si="48"/>
        <v>A</v>
      </c>
      <c r="J187" s="5" t="str">
        <f t="shared" si="49"/>
        <v>CB</v>
      </c>
      <c r="K187" s="5" t="str">
        <f t="shared" si="50"/>
        <v>CA</v>
      </c>
      <c r="L187" s="5" t="str">
        <f t="shared" si="51"/>
        <v>BA</v>
      </c>
      <c r="M187">
        <v>24.3</v>
      </c>
      <c r="R187" s="4">
        <f>(M95-AVERAGE($M$3:$M$290))^2</f>
        <v>0.99937509765627186</v>
      </c>
      <c r="AI187"/>
    </row>
    <row r="188" spans="2:35" x14ac:dyDescent="0.25">
      <c r="B188" s="5" t="s">
        <v>27</v>
      </c>
      <c r="C188" s="5" t="s">
        <v>25</v>
      </c>
      <c r="D188" t="str">
        <f t="shared" si="45"/>
        <v>0806</v>
      </c>
      <c r="E188" s="5">
        <v>12</v>
      </c>
      <c r="F188" s="5" t="str">
        <f>VLOOKUP(E188,'Base Original'!$B$4:$C$16,2,0)</f>
        <v>CAB</v>
      </c>
      <c r="G188" s="5" t="str">
        <f t="shared" si="46"/>
        <v>C</v>
      </c>
      <c r="H188" s="5" t="str">
        <f t="shared" si="47"/>
        <v>A</v>
      </c>
      <c r="I188" s="5" t="str">
        <f t="shared" si="48"/>
        <v>B</v>
      </c>
      <c r="J188" s="5" t="str">
        <f t="shared" si="49"/>
        <v>CA</v>
      </c>
      <c r="K188" s="5" t="str">
        <f t="shared" si="50"/>
        <v>CB</v>
      </c>
      <c r="L188" s="5" t="str">
        <f t="shared" si="51"/>
        <v>AB</v>
      </c>
      <c r="M188">
        <v>23.85</v>
      </c>
      <c r="R188" s="4">
        <f>(M96-AVERAGE($M$3:$M$290))^2</f>
        <v>0.21131259765626084</v>
      </c>
      <c r="AI188"/>
    </row>
    <row r="189" spans="2:35" x14ac:dyDescent="0.25">
      <c r="B189" s="5" t="s">
        <v>27</v>
      </c>
      <c r="C189" s="5" t="s">
        <v>26</v>
      </c>
      <c r="D189" t="str">
        <f t="shared" si="45"/>
        <v>0807</v>
      </c>
      <c r="E189" s="5">
        <v>10</v>
      </c>
      <c r="F189" s="5" t="str">
        <f>VLOOKUP(E189,'Base Original'!$B$4:$C$16,2,0)</f>
        <v>AAB</v>
      </c>
      <c r="G189" s="5" t="str">
        <f t="shared" si="46"/>
        <v>A</v>
      </c>
      <c r="H189" s="5" t="str">
        <f t="shared" si="47"/>
        <v>A</v>
      </c>
      <c r="I189" s="5" t="str">
        <f t="shared" si="48"/>
        <v>B</v>
      </c>
      <c r="J189" s="5" t="str">
        <f t="shared" si="49"/>
        <v>AA</v>
      </c>
      <c r="K189" s="5" t="str">
        <f t="shared" si="50"/>
        <v>AB</v>
      </c>
      <c r="L189" s="5" t="str">
        <f t="shared" si="51"/>
        <v>AB</v>
      </c>
      <c r="M189">
        <v>23.73</v>
      </c>
      <c r="R189" s="4">
        <f>(M97-AVERAGE($M$3:$M$290))^2</f>
        <v>0.10869384765625609</v>
      </c>
      <c r="AI189"/>
    </row>
    <row r="190" spans="2:35" x14ac:dyDescent="0.25">
      <c r="B190" s="5" t="s">
        <v>27</v>
      </c>
      <c r="C190" s="5" t="s">
        <v>27</v>
      </c>
      <c r="D190" t="str">
        <f t="shared" si="45"/>
        <v>0808</v>
      </c>
      <c r="E190" s="5" t="s">
        <v>23</v>
      </c>
      <c r="F190" s="5" t="str">
        <f>VLOOKUP(E190,'Base Original'!$B$4:$C$16,2,0)</f>
        <v>ABA</v>
      </c>
      <c r="G190" s="5" t="str">
        <f t="shared" si="46"/>
        <v>A</v>
      </c>
      <c r="H190" s="5" t="str">
        <f t="shared" si="47"/>
        <v>B</v>
      </c>
      <c r="I190" s="5" t="str">
        <f t="shared" si="48"/>
        <v>A</v>
      </c>
      <c r="J190" s="5" t="str">
        <f t="shared" si="49"/>
        <v>AB</v>
      </c>
      <c r="K190" s="5" t="str">
        <f t="shared" si="50"/>
        <v>AA</v>
      </c>
      <c r="L190" s="5" t="str">
        <f t="shared" si="51"/>
        <v>BA</v>
      </c>
      <c r="M190">
        <v>23.55</v>
      </c>
      <c r="R190" s="4">
        <f>(M98-AVERAGE($M$3:$M$290))^2</f>
        <v>2.249062597656283</v>
      </c>
      <c r="AI190"/>
    </row>
    <row r="191" spans="2:35" x14ac:dyDescent="0.25">
      <c r="B191" s="5" t="s">
        <v>27</v>
      </c>
      <c r="C191" s="5" t="s">
        <v>28</v>
      </c>
      <c r="D191" t="str">
        <f t="shared" si="45"/>
        <v>0809</v>
      </c>
      <c r="E191" s="5">
        <v>11</v>
      </c>
      <c r="F191" s="5" t="str">
        <f>VLOOKUP(E191,'Base Original'!$B$4:$C$16,2,0)</f>
        <v>BAB</v>
      </c>
      <c r="G191" s="5" t="str">
        <f t="shared" si="46"/>
        <v>B</v>
      </c>
      <c r="H191" s="5" t="str">
        <f t="shared" si="47"/>
        <v>A</v>
      </c>
      <c r="I191" s="5" t="str">
        <f t="shared" si="48"/>
        <v>B</v>
      </c>
      <c r="J191" s="5" t="str">
        <f t="shared" si="49"/>
        <v>BA</v>
      </c>
      <c r="K191" s="5" t="str">
        <f t="shared" si="50"/>
        <v>BB</v>
      </c>
      <c r="L191" s="5" t="str">
        <f t="shared" si="51"/>
        <v>AB</v>
      </c>
      <c r="M191">
        <v>24.1</v>
      </c>
      <c r="R191" s="4">
        <f>(M99-AVERAGE($M$3:$M$290))^2</f>
        <v>0.10220009765625718</v>
      </c>
      <c r="AI191"/>
    </row>
    <row r="192" spans="2:35" x14ac:dyDescent="0.25">
      <c r="B192" s="5" t="s">
        <v>27</v>
      </c>
      <c r="C192" s="5">
        <v>10</v>
      </c>
      <c r="D192" t="str">
        <f t="shared" si="45"/>
        <v>0810</v>
      </c>
      <c r="E192" s="5" t="s">
        <v>20</v>
      </c>
      <c r="F192" s="5" t="str">
        <f>VLOOKUP(E192,'Base Original'!$B$4:$C$16,2,0)</f>
        <v>AAA</v>
      </c>
      <c r="G192" s="5" t="str">
        <f t="shared" si="46"/>
        <v>A</v>
      </c>
      <c r="H192" s="5" t="str">
        <f t="shared" si="47"/>
        <v>A</v>
      </c>
      <c r="I192" s="5" t="str">
        <f t="shared" si="48"/>
        <v>A</v>
      </c>
      <c r="J192" s="5" t="str">
        <f t="shared" si="49"/>
        <v>AA</v>
      </c>
      <c r="K192" s="5" t="str">
        <f t="shared" si="50"/>
        <v>AA</v>
      </c>
      <c r="L192" s="5" t="str">
        <f t="shared" si="51"/>
        <v>AA</v>
      </c>
      <c r="M192">
        <v>25.2</v>
      </c>
      <c r="R192" s="4">
        <f>(M100-AVERAGE($M$3:$M$290))^2</f>
        <v>8.9812597656256987E-2</v>
      </c>
      <c r="AI192"/>
    </row>
    <row r="193" spans="2:35" x14ac:dyDescent="0.25">
      <c r="B193" s="5" t="s">
        <v>27</v>
      </c>
      <c r="C193" s="5">
        <v>11</v>
      </c>
      <c r="D193" t="str">
        <f t="shared" si="45"/>
        <v>0811</v>
      </c>
      <c r="E193" s="5" t="s">
        <v>24</v>
      </c>
      <c r="F193" s="5" t="str">
        <f>VLOOKUP(E193,'Base Original'!$B$4:$C$16,2,0)</f>
        <v>BBA</v>
      </c>
      <c r="G193" s="5" t="str">
        <f t="shared" si="46"/>
        <v>B</v>
      </c>
      <c r="H193" s="5" t="str">
        <f t="shared" si="47"/>
        <v>B</v>
      </c>
      <c r="I193" s="5" t="str">
        <f t="shared" si="48"/>
        <v>A</v>
      </c>
      <c r="J193" s="5" t="str">
        <f t="shared" si="49"/>
        <v>BB</v>
      </c>
      <c r="K193" s="5" t="str">
        <f t="shared" si="50"/>
        <v>BA</v>
      </c>
      <c r="L193" s="5" t="str">
        <f t="shared" si="51"/>
        <v>BA</v>
      </c>
      <c r="M193">
        <v>25.19</v>
      </c>
      <c r="R193" s="4">
        <f>(M101-AVERAGE($M$3:$M$290))^2</f>
        <v>0.9794813476562686</v>
      </c>
      <c r="AI193"/>
    </row>
    <row r="194" spans="2:35" x14ac:dyDescent="0.25">
      <c r="B194" s="5" t="s">
        <v>27</v>
      </c>
      <c r="C194" s="5">
        <v>12</v>
      </c>
      <c r="D194" t="str">
        <f t="shared" si="45"/>
        <v>0812</v>
      </c>
      <c r="E194" s="5" t="s">
        <v>27</v>
      </c>
      <c r="F194" s="5" t="str">
        <f>VLOOKUP(E194,'Base Original'!$B$4:$C$16,2,0)</f>
        <v>BBB</v>
      </c>
      <c r="G194" s="5" t="str">
        <f t="shared" si="46"/>
        <v>B</v>
      </c>
      <c r="H194" s="5" t="str">
        <f t="shared" si="47"/>
        <v>B</v>
      </c>
      <c r="I194" s="5" t="str">
        <f t="shared" si="48"/>
        <v>B</v>
      </c>
      <c r="J194" s="5" t="str">
        <f t="shared" si="49"/>
        <v>BB</v>
      </c>
      <c r="K194" s="5" t="str">
        <f t="shared" si="50"/>
        <v>BB</v>
      </c>
      <c r="L194" s="5" t="str">
        <f t="shared" si="51"/>
        <v>BB</v>
      </c>
      <c r="M194">
        <v>24.48</v>
      </c>
      <c r="R194" s="4">
        <f>(M102-AVERAGE($M$3:$M$290))^2</f>
        <v>0.15185634765625897</v>
      </c>
      <c r="AI194"/>
    </row>
    <row r="195" spans="2:35" x14ac:dyDescent="0.25">
      <c r="B195" s="5" t="s">
        <v>28</v>
      </c>
      <c r="C195" s="5" t="s">
        <v>20</v>
      </c>
      <c r="D195" t="str">
        <f t="shared" si="45"/>
        <v>0901</v>
      </c>
      <c r="E195" s="5" t="s">
        <v>20</v>
      </c>
      <c r="F195" s="5" t="str">
        <f>VLOOKUP(E195,'Base Original'!$B$4:$C$16,2,0)</f>
        <v>AAA</v>
      </c>
      <c r="G195" s="5" t="str">
        <f t="shared" si="46"/>
        <v>A</v>
      </c>
      <c r="H195" s="5" t="str">
        <f t="shared" si="47"/>
        <v>A</v>
      </c>
      <c r="I195" s="5" t="str">
        <f t="shared" si="48"/>
        <v>A</v>
      </c>
      <c r="J195" s="5" t="str">
        <f t="shared" si="49"/>
        <v>AA</v>
      </c>
      <c r="K195" s="5" t="str">
        <f t="shared" si="50"/>
        <v>AA</v>
      </c>
      <c r="L195" s="5" t="str">
        <f t="shared" si="51"/>
        <v>AA</v>
      </c>
      <c r="M195">
        <v>23.08</v>
      </c>
      <c r="R195" s="4">
        <f>(M103-AVERAGE($M$3:$M$290))^2</f>
        <v>0.68941884765622896</v>
      </c>
      <c r="AI195"/>
    </row>
    <row r="196" spans="2:35" x14ac:dyDescent="0.25">
      <c r="B196" s="5" t="s">
        <v>28</v>
      </c>
      <c r="C196" s="5" t="s">
        <v>21</v>
      </c>
      <c r="D196" t="str">
        <f t="shared" ref="D196:D259" si="52">B196&amp;C196</f>
        <v>0902</v>
      </c>
      <c r="E196" s="5" t="s">
        <v>22</v>
      </c>
      <c r="F196" s="5" t="str">
        <f>VLOOKUP(E196,'Base Original'!$B$4:$C$16,2,0)</f>
        <v>CAA</v>
      </c>
      <c r="G196" s="5" t="str">
        <f t="shared" ref="G196:G259" si="53">LEFT(F196,1)</f>
        <v>C</v>
      </c>
      <c r="H196" s="5" t="str">
        <f t="shared" ref="H196:H259" si="54">MID(F196,2,1)</f>
        <v>A</v>
      </c>
      <c r="I196" s="5" t="str">
        <f t="shared" ref="I196:I259" si="55">RIGHT(F196,1)</f>
        <v>A</v>
      </c>
      <c r="J196" s="5" t="str">
        <f t="shared" ref="J196:J259" si="56">G196&amp;H196</f>
        <v>CA</v>
      </c>
      <c r="K196" s="5" t="str">
        <f t="shared" ref="K196:K259" si="57">G196&amp;I196</f>
        <v>CA</v>
      </c>
      <c r="L196" s="5" t="str">
        <f t="shared" ref="L196:L259" si="58">H196&amp;I196</f>
        <v>AA</v>
      </c>
      <c r="M196">
        <v>24.74</v>
      </c>
      <c r="R196" s="4">
        <f>(M104-AVERAGE($M$3:$M$290))^2</f>
        <v>1.006259765624809E-2</v>
      </c>
      <c r="AI196"/>
    </row>
    <row r="197" spans="2:35" x14ac:dyDescent="0.25">
      <c r="B197" s="5" t="s">
        <v>28</v>
      </c>
      <c r="C197" s="5" t="s">
        <v>22</v>
      </c>
      <c r="D197" t="str">
        <f t="shared" si="52"/>
        <v>0903</v>
      </c>
      <c r="E197" s="5">
        <v>12</v>
      </c>
      <c r="F197" s="5" t="str">
        <f>VLOOKUP(E197,'Base Original'!$B$4:$C$16,2,0)</f>
        <v>CAB</v>
      </c>
      <c r="G197" s="5" t="str">
        <f t="shared" si="53"/>
        <v>C</v>
      </c>
      <c r="H197" s="5" t="str">
        <f t="shared" si="54"/>
        <v>A</v>
      </c>
      <c r="I197" s="5" t="str">
        <f t="shared" si="55"/>
        <v>B</v>
      </c>
      <c r="J197" s="5" t="str">
        <f t="shared" si="56"/>
        <v>CA</v>
      </c>
      <c r="K197" s="5" t="str">
        <f t="shared" si="57"/>
        <v>CB</v>
      </c>
      <c r="L197" s="5" t="str">
        <f t="shared" si="58"/>
        <v>AB</v>
      </c>
      <c r="M197">
        <v>24.51</v>
      </c>
      <c r="R197" s="4">
        <f>(M105-AVERAGE($M$3:$M$290))^2</f>
        <v>0.67291259765623246</v>
      </c>
      <c r="AI197"/>
    </row>
    <row r="198" spans="2:35" x14ac:dyDescent="0.25">
      <c r="B198" s="5" t="s">
        <v>28</v>
      </c>
      <c r="C198" s="5" t="s">
        <v>23</v>
      </c>
      <c r="D198" t="str">
        <f t="shared" si="52"/>
        <v>0904</v>
      </c>
      <c r="E198" s="5" t="s">
        <v>27</v>
      </c>
      <c r="F198" s="5" t="str">
        <f>VLOOKUP(E198,'Base Original'!$B$4:$C$16,2,0)</f>
        <v>BBB</v>
      </c>
      <c r="G198" s="5" t="str">
        <f t="shared" si="53"/>
        <v>B</v>
      </c>
      <c r="H198" s="5" t="str">
        <f t="shared" si="54"/>
        <v>B</v>
      </c>
      <c r="I198" s="5" t="str">
        <f t="shared" si="55"/>
        <v>B</v>
      </c>
      <c r="J198" s="5" t="str">
        <f t="shared" si="56"/>
        <v>BB</v>
      </c>
      <c r="K198" s="5" t="str">
        <f t="shared" si="57"/>
        <v>BB</v>
      </c>
      <c r="L198" s="5" t="str">
        <f t="shared" si="58"/>
        <v>BB</v>
      </c>
      <c r="M198">
        <v>22.37</v>
      </c>
      <c r="R198" s="4">
        <f>(M106-AVERAGE($M$3:$M$290))^2</f>
        <v>7.3068847656243857E-2</v>
      </c>
      <c r="AI198"/>
    </row>
    <row r="199" spans="2:35" x14ac:dyDescent="0.25">
      <c r="B199" s="5" t="s">
        <v>28</v>
      </c>
      <c r="C199" s="5" t="s">
        <v>24</v>
      </c>
      <c r="D199" t="str">
        <f t="shared" si="52"/>
        <v>0905</v>
      </c>
      <c r="E199" s="5" t="s">
        <v>21</v>
      </c>
      <c r="F199" s="5" t="str">
        <f>VLOOKUP(E199,'Base Original'!$B$4:$C$16,2,0)</f>
        <v>BAA</v>
      </c>
      <c r="G199" s="5" t="str">
        <f t="shared" si="53"/>
        <v>B</v>
      </c>
      <c r="H199" s="5" t="str">
        <f t="shared" si="54"/>
        <v>A</v>
      </c>
      <c r="I199" s="5" t="str">
        <f t="shared" si="55"/>
        <v>A</v>
      </c>
      <c r="J199" s="5" t="str">
        <f t="shared" si="56"/>
        <v>BA</v>
      </c>
      <c r="K199" s="5" t="str">
        <f t="shared" si="57"/>
        <v>BA</v>
      </c>
      <c r="L199" s="5" t="str">
        <f t="shared" si="58"/>
        <v>AA</v>
      </c>
      <c r="M199">
        <v>24.33</v>
      </c>
      <c r="R199" s="4">
        <f>(M107-AVERAGE($M$3:$M$290))^2</f>
        <v>1.663293847656276</v>
      </c>
      <c r="AI199"/>
    </row>
    <row r="200" spans="2:35" x14ac:dyDescent="0.25">
      <c r="B200" s="5" t="s">
        <v>28</v>
      </c>
      <c r="C200" s="5" t="s">
        <v>25</v>
      </c>
      <c r="D200" t="str">
        <f t="shared" si="52"/>
        <v>0906</v>
      </c>
      <c r="E200" s="5" t="s">
        <v>24</v>
      </c>
      <c r="F200" s="5" t="str">
        <f>VLOOKUP(E200,'Base Original'!$B$4:$C$16,2,0)</f>
        <v>BBA</v>
      </c>
      <c r="G200" s="5" t="str">
        <f t="shared" si="53"/>
        <v>B</v>
      </c>
      <c r="H200" s="5" t="str">
        <f t="shared" si="54"/>
        <v>B</v>
      </c>
      <c r="I200" s="5" t="str">
        <f t="shared" si="55"/>
        <v>A</v>
      </c>
      <c r="J200" s="5" t="str">
        <f t="shared" si="56"/>
        <v>BB</v>
      </c>
      <c r="K200" s="5" t="str">
        <f t="shared" si="57"/>
        <v>BA</v>
      </c>
      <c r="L200" s="5" t="str">
        <f t="shared" si="58"/>
        <v>BA</v>
      </c>
      <c r="M200">
        <v>24.78</v>
      </c>
      <c r="R200" s="4">
        <f>(M108-AVERAGE($M$3:$M$290))^2</f>
        <v>0.95978759765627231</v>
      </c>
      <c r="AI200"/>
    </row>
    <row r="201" spans="2:35" x14ac:dyDescent="0.25">
      <c r="B201" s="5" t="s">
        <v>28</v>
      </c>
      <c r="C201" s="5" t="s">
        <v>26</v>
      </c>
      <c r="D201" t="str">
        <f t="shared" si="52"/>
        <v>0907</v>
      </c>
      <c r="E201" s="5" t="s">
        <v>25</v>
      </c>
      <c r="F201" s="5" t="str">
        <f>VLOOKUP(E201,'Base Original'!$B$4:$C$16,2,0)</f>
        <v>CBA</v>
      </c>
      <c r="G201" s="5" t="str">
        <f t="shared" si="53"/>
        <v>C</v>
      </c>
      <c r="H201" s="5" t="str">
        <f t="shared" si="54"/>
        <v>B</v>
      </c>
      <c r="I201" s="5" t="str">
        <f t="shared" si="55"/>
        <v>A</v>
      </c>
      <c r="J201" s="5" t="str">
        <f t="shared" si="56"/>
        <v>CB</v>
      </c>
      <c r="K201" s="5" t="str">
        <f t="shared" si="57"/>
        <v>CA</v>
      </c>
      <c r="L201" s="5" t="str">
        <f t="shared" si="58"/>
        <v>BA</v>
      </c>
      <c r="M201">
        <v>23.33</v>
      </c>
      <c r="R201" s="4">
        <f>(M109-AVERAGE($M$3:$M$290))^2</f>
        <v>0.65660634765623016</v>
      </c>
      <c r="AI201"/>
    </row>
    <row r="202" spans="2:35" x14ac:dyDescent="0.25">
      <c r="B202" s="5" t="s">
        <v>28</v>
      </c>
      <c r="C202" s="5" t="s">
        <v>27</v>
      </c>
      <c r="D202" t="str">
        <f t="shared" si="52"/>
        <v>0908</v>
      </c>
      <c r="E202" s="5" t="s">
        <v>28</v>
      </c>
      <c r="F202" s="5" t="str">
        <f>VLOOKUP(E202,'Base Original'!$B$4:$C$16,2,0)</f>
        <v>CBB</v>
      </c>
      <c r="G202" s="5" t="str">
        <f t="shared" si="53"/>
        <v>C</v>
      </c>
      <c r="H202" s="5" t="str">
        <f t="shared" si="54"/>
        <v>B</v>
      </c>
      <c r="I202" s="5" t="str">
        <f t="shared" si="55"/>
        <v>B</v>
      </c>
      <c r="J202" s="5" t="str">
        <f t="shared" si="56"/>
        <v>CB</v>
      </c>
      <c r="K202" s="5" t="str">
        <f t="shared" si="57"/>
        <v>CB</v>
      </c>
      <c r="L202" s="5" t="str">
        <f t="shared" si="58"/>
        <v>BB</v>
      </c>
      <c r="M202">
        <v>23.45</v>
      </c>
      <c r="R202" s="4">
        <f>(M110-AVERAGE($M$3:$M$290))^2</f>
        <v>5.2426688476562964</v>
      </c>
      <c r="AI202"/>
    </row>
    <row r="203" spans="2:35" x14ac:dyDescent="0.25">
      <c r="B203" s="5" t="s">
        <v>28</v>
      </c>
      <c r="C203" s="5" t="s">
        <v>28</v>
      </c>
      <c r="D203" t="str">
        <f t="shared" si="52"/>
        <v>0909</v>
      </c>
      <c r="E203" s="5">
        <v>10</v>
      </c>
      <c r="F203" s="5" t="str">
        <f>VLOOKUP(E203,'Base Original'!$B$4:$C$16,2,0)</f>
        <v>AAB</v>
      </c>
      <c r="G203" s="5" t="str">
        <f t="shared" si="53"/>
        <v>A</v>
      </c>
      <c r="H203" s="5" t="str">
        <f t="shared" si="54"/>
        <v>A</v>
      </c>
      <c r="I203" s="5" t="str">
        <f t="shared" si="55"/>
        <v>B</v>
      </c>
      <c r="J203" s="5" t="str">
        <f t="shared" si="56"/>
        <v>AA</v>
      </c>
      <c r="K203" s="5" t="str">
        <f t="shared" si="57"/>
        <v>AB</v>
      </c>
      <c r="L203" s="5" t="str">
        <f t="shared" si="58"/>
        <v>AB</v>
      </c>
      <c r="M203">
        <v>24.08</v>
      </c>
      <c r="R203" s="4">
        <f>(M111-AVERAGE($M$3:$M$290))^2</f>
        <v>1.4325097656252858E-2</v>
      </c>
      <c r="AI203"/>
    </row>
    <row r="204" spans="2:35" x14ac:dyDescent="0.25">
      <c r="B204" s="5" t="s">
        <v>28</v>
      </c>
      <c r="C204" s="5">
        <v>10</v>
      </c>
      <c r="D204" t="str">
        <f t="shared" si="52"/>
        <v>0910</v>
      </c>
      <c r="E204" s="5" t="s">
        <v>26</v>
      </c>
      <c r="F204" s="5" t="str">
        <f>VLOOKUP(E204,'Base Original'!$B$4:$C$16,2,0)</f>
        <v>ABB</v>
      </c>
      <c r="G204" s="5" t="str">
        <f t="shared" si="53"/>
        <v>A</v>
      </c>
      <c r="H204" s="5" t="str">
        <f t="shared" si="54"/>
        <v>B</v>
      </c>
      <c r="I204" s="5" t="str">
        <f t="shared" si="55"/>
        <v>B</v>
      </c>
      <c r="J204" s="5" t="str">
        <f t="shared" si="56"/>
        <v>AB</v>
      </c>
      <c r="K204" s="5" t="str">
        <f t="shared" si="57"/>
        <v>AB</v>
      </c>
      <c r="L204" s="5" t="str">
        <f t="shared" si="58"/>
        <v>BB</v>
      </c>
      <c r="M204">
        <v>23.12</v>
      </c>
      <c r="R204" s="4">
        <f>(M112-AVERAGE($M$3:$M$290))^2</f>
        <v>0.75744384765623274</v>
      </c>
      <c r="AI204"/>
    </row>
    <row r="205" spans="2:35" x14ac:dyDescent="0.25">
      <c r="B205" s="5" t="s">
        <v>28</v>
      </c>
      <c r="C205" s="5">
        <v>11</v>
      </c>
      <c r="D205" t="str">
        <f t="shared" si="52"/>
        <v>0911</v>
      </c>
      <c r="E205" s="5">
        <v>11</v>
      </c>
      <c r="F205" s="5" t="str">
        <f>VLOOKUP(E205,'Base Original'!$B$4:$C$16,2,0)</f>
        <v>BAB</v>
      </c>
      <c r="G205" s="5" t="str">
        <f t="shared" si="53"/>
        <v>B</v>
      </c>
      <c r="H205" s="5" t="str">
        <f t="shared" si="54"/>
        <v>A</v>
      </c>
      <c r="I205" s="5" t="str">
        <f t="shared" si="55"/>
        <v>B</v>
      </c>
      <c r="J205" s="5" t="str">
        <f t="shared" si="56"/>
        <v>BA</v>
      </c>
      <c r="K205" s="5" t="str">
        <f t="shared" si="57"/>
        <v>BB</v>
      </c>
      <c r="L205" s="5" t="str">
        <f t="shared" si="58"/>
        <v>AB</v>
      </c>
      <c r="M205">
        <v>24.34</v>
      </c>
      <c r="R205" s="4">
        <f>(M113-AVERAGE($M$3:$M$290))^2</f>
        <v>0.13713134765624263</v>
      </c>
      <c r="AI205"/>
    </row>
    <row r="206" spans="2:35" x14ac:dyDescent="0.25">
      <c r="B206" s="5" t="s">
        <v>28</v>
      </c>
      <c r="C206" s="5">
        <v>12</v>
      </c>
      <c r="D206" t="str">
        <f t="shared" si="52"/>
        <v>0912</v>
      </c>
      <c r="E206" s="5" t="s">
        <v>23</v>
      </c>
      <c r="F206" s="5" t="str">
        <f>VLOOKUP(E206,'Base Original'!$B$4:$C$16,2,0)</f>
        <v>ABA</v>
      </c>
      <c r="G206" s="5" t="str">
        <f t="shared" si="53"/>
        <v>A</v>
      </c>
      <c r="H206" s="5" t="str">
        <f t="shared" si="54"/>
        <v>B</v>
      </c>
      <c r="I206" s="5" t="str">
        <f t="shared" si="55"/>
        <v>A</v>
      </c>
      <c r="J206" s="5" t="str">
        <f t="shared" si="56"/>
        <v>AB</v>
      </c>
      <c r="K206" s="5" t="str">
        <f t="shared" si="57"/>
        <v>AA</v>
      </c>
      <c r="L206" s="5" t="str">
        <f t="shared" si="58"/>
        <v>BA</v>
      </c>
      <c r="M206">
        <v>25.89</v>
      </c>
      <c r="R206" s="4">
        <f>(M114-AVERAGE($M$3:$M$290))^2</f>
        <v>2.1894750976562838</v>
      </c>
      <c r="AI206"/>
    </row>
    <row r="207" spans="2:35" x14ac:dyDescent="0.25">
      <c r="B207" s="5" t="s">
        <v>28</v>
      </c>
      <c r="C207" s="5" t="s">
        <v>20</v>
      </c>
      <c r="D207" t="str">
        <f t="shared" si="52"/>
        <v>0901</v>
      </c>
      <c r="E207" s="5" t="s">
        <v>20</v>
      </c>
      <c r="F207" s="5" t="str">
        <f>VLOOKUP(E207,'Base Original'!$B$4:$C$16,2,0)</f>
        <v>AAA</v>
      </c>
      <c r="G207" s="5" t="str">
        <f t="shared" si="53"/>
        <v>A</v>
      </c>
      <c r="H207" s="5" t="str">
        <f t="shared" si="54"/>
        <v>A</v>
      </c>
      <c r="I207" s="5" t="str">
        <f t="shared" si="55"/>
        <v>A</v>
      </c>
      <c r="J207" s="5" t="str">
        <f t="shared" si="56"/>
        <v>AA</v>
      </c>
      <c r="K207" s="5" t="str">
        <f t="shared" si="57"/>
        <v>AA</v>
      </c>
      <c r="L207" s="5" t="str">
        <f t="shared" si="58"/>
        <v>AA</v>
      </c>
      <c r="M207">
        <v>23.24</v>
      </c>
      <c r="R207" s="4">
        <f>(M115-AVERAGE($M$3:$M$290))^2</f>
        <v>0.47566884765626688</v>
      </c>
      <c r="AI207"/>
    </row>
    <row r="208" spans="2:35" x14ac:dyDescent="0.25">
      <c r="B208" s="5" t="s">
        <v>28</v>
      </c>
      <c r="C208" s="5" t="s">
        <v>21</v>
      </c>
      <c r="D208" t="str">
        <f t="shared" si="52"/>
        <v>0902</v>
      </c>
      <c r="E208" s="5" t="s">
        <v>22</v>
      </c>
      <c r="F208" s="5" t="str">
        <f>VLOOKUP(E208,'Base Original'!$B$4:$C$16,2,0)</f>
        <v>CAA</v>
      </c>
      <c r="G208" s="5" t="str">
        <f t="shared" si="53"/>
        <v>C</v>
      </c>
      <c r="H208" s="5" t="str">
        <f t="shared" si="54"/>
        <v>A</v>
      </c>
      <c r="I208" s="5" t="str">
        <f t="shared" si="55"/>
        <v>A</v>
      </c>
      <c r="J208" s="5" t="str">
        <f t="shared" si="56"/>
        <v>CA</v>
      </c>
      <c r="K208" s="5" t="str">
        <f t="shared" si="57"/>
        <v>CA</v>
      </c>
      <c r="L208" s="5" t="str">
        <f t="shared" si="58"/>
        <v>AA</v>
      </c>
      <c r="M208">
        <v>23.05</v>
      </c>
      <c r="R208" s="4">
        <f>(M116-AVERAGE($M$3:$M$290))^2</f>
        <v>0.37248134765623597</v>
      </c>
      <c r="AI208"/>
    </row>
    <row r="209" spans="2:35" x14ac:dyDescent="0.25">
      <c r="B209" s="5" t="s">
        <v>28</v>
      </c>
      <c r="C209" s="5" t="s">
        <v>22</v>
      </c>
      <c r="D209" t="str">
        <f t="shared" si="52"/>
        <v>0903</v>
      </c>
      <c r="E209" s="5">
        <v>12</v>
      </c>
      <c r="F209" s="5" t="str">
        <f>VLOOKUP(E209,'Base Original'!$B$4:$C$16,2,0)</f>
        <v>CAB</v>
      </c>
      <c r="G209" s="5" t="str">
        <f t="shared" si="53"/>
        <v>C</v>
      </c>
      <c r="H209" s="5" t="str">
        <f t="shared" si="54"/>
        <v>A</v>
      </c>
      <c r="I209" s="5" t="str">
        <f t="shared" si="55"/>
        <v>B</v>
      </c>
      <c r="J209" s="5" t="str">
        <f t="shared" si="56"/>
        <v>CA</v>
      </c>
      <c r="K209" s="5" t="str">
        <f t="shared" si="57"/>
        <v>CB</v>
      </c>
      <c r="L209" s="5" t="str">
        <f t="shared" si="58"/>
        <v>AB</v>
      </c>
      <c r="M209">
        <v>22.54</v>
      </c>
      <c r="R209" s="4">
        <f>(M117-AVERAGE($M$3:$M$290))^2</f>
        <v>0.15185634765625897</v>
      </c>
      <c r="AI209"/>
    </row>
    <row r="210" spans="2:35" x14ac:dyDescent="0.25">
      <c r="B210" s="5" t="s">
        <v>28</v>
      </c>
      <c r="C210" s="5" t="s">
        <v>23</v>
      </c>
      <c r="D210" t="str">
        <f t="shared" si="52"/>
        <v>0904</v>
      </c>
      <c r="E210" s="5" t="s">
        <v>27</v>
      </c>
      <c r="F210" s="5" t="str">
        <f>VLOOKUP(E210,'Base Original'!$B$4:$C$16,2,0)</f>
        <v>BBB</v>
      </c>
      <c r="G210" s="5" t="str">
        <f t="shared" si="53"/>
        <v>B</v>
      </c>
      <c r="H210" s="5" t="str">
        <f t="shared" si="54"/>
        <v>B</v>
      </c>
      <c r="I210" s="5" t="str">
        <f t="shared" si="55"/>
        <v>B</v>
      </c>
      <c r="J210" s="5" t="str">
        <f t="shared" si="56"/>
        <v>BB</v>
      </c>
      <c r="K210" s="5" t="str">
        <f t="shared" si="57"/>
        <v>BB</v>
      </c>
      <c r="L210" s="5" t="str">
        <f t="shared" si="58"/>
        <v>BB</v>
      </c>
      <c r="M210">
        <v>24.55</v>
      </c>
      <c r="R210" s="4">
        <f>(M118-AVERAGE($M$3:$M$290))^2</f>
        <v>0.60888759765623468</v>
      </c>
      <c r="AI210"/>
    </row>
    <row r="211" spans="2:35" x14ac:dyDescent="0.25">
      <c r="B211" s="5" t="s">
        <v>28</v>
      </c>
      <c r="C211" s="5" t="s">
        <v>24</v>
      </c>
      <c r="D211" t="str">
        <f t="shared" si="52"/>
        <v>0905</v>
      </c>
      <c r="E211" s="5" t="s">
        <v>21</v>
      </c>
      <c r="F211" s="5" t="str">
        <f>VLOOKUP(E211,'Base Original'!$B$4:$C$16,2,0)</f>
        <v>BAA</v>
      </c>
      <c r="G211" s="5" t="str">
        <f t="shared" si="53"/>
        <v>B</v>
      </c>
      <c r="H211" s="5" t="str">
        <f t="shared" si="54"/>
        <v>A</v>
      </c>
      <c r="I211" s="5" t="str">
        <f t="shared" si="55"/>
        <v>A</v>
      </c>
      <c r="J211" s="5" t="str">
        <f t="shared" si="56"/>
        <v>BA</v>
      </c>
      <c r="K211" s="5" t="str">
        <f t="shared" si="57"/>
        <v>BA</v>
      </c>
      <c r="L211" s="5" t="str">
        <f t="shared" si="58"/>
        <v>AA</v>
      </c>
      <c r="M211">
        <v>23.78</v>
      </c>
      <c r="R211" s="4">
        <f>(M119-AVERAGE($M$3:$M$290))^2</f>
        <v>1.5632813476562226</v>
      </c>
      <c r="AI211"/>
    </row>
    <row r="212" spans="2:35" x14ac:dyDescent="0.25">
      <c r="B212" s="5" t="s">
        <v>28</v>
      </c>
      <c r="C212" s="5" t="s">
        <v>25</v>
      </c>
      <c r="D212" t="str">
        <f t="shared" si="52"/>
        <v>0906</v>
      </c>
      <c r="E212" s="5" t="s">
        <v>24</v>
      </c>
      <c r="F212" s="5" t="str">
        <f>VLOOKUP(E212,'Base Original'!$B$4:$C$16,2,0)</f>
        <v>BBA</v>
      </c>
      <c r="G212" s="5" t="str">
        <f t="shared" si="53"/>
        <v>B</v>
      </c>
      <c r="H212" s="5" t="str">
        <f t="shared" si="54"/>
        <v>B</v>
      </c>
      <c r="I212" s="5" t="str">
        <f t="shared" si="55"/>
        <v>A</v>
      </c>
      <c r="J212" s="5" t="str">
        <f t="shared" si="56"/>
        <v>BB</v>
      </c>
      <c r="K212" s="5" t="str">
        <f t="shared" si="57"/>
        <v>BA</v>
      </c>
      <c r="L212" s="5" t="str">
        <f t="shared" si="58"/>
        <v>BA</v>
      </c>
      <c r="M212">
        <v>24.2</v>
      </c>
      <c r="R212" s="4">
        <f>(M120-AVERAGE($M$3:$M$290))^2</f>
        <v>0.88301259765627294</v>
      </c>
      <c r="AI212"/>
    </row>
    <row r="213" spans="2:35" x14ac:dyDescent="0.25">
      <c r="B213" s="5" t="s">
        <v>28</v>
      </c>
      <c r="C213" s="5" t="s">
        <v>26</v>
      </c>
      <c r="D213" t="str">
        <f t="shared" si="52"/>
        <v>0907</v>
      </c>
      <c r="E213" s="5" t="s">
        <v>25</v>
      </c>
      <c r="F213" s="5" t="str">
        <f>VLOOKUP(E213,'Base Original'!$B$4:$C$16,2,0)</f>
        <v>CBA</v>
      </c>
      <c r="G213" s="5" t="str">
        <f t="shared" si="53"/>
        <v>C</v>
      </c>
      <c r="H213" s="5" t="str">
        <f t="shared" si="54"/>
        <v>B</v>
      </c>
      <c r="I213" s="5" t="str">
        <f t="shared" si="55"/>
        <v>A</v>
      </c>
      <c r="J213" s="5" t="str">
        <f t="shared" si="56"/>
        <v>CB</v>
      </c>
      <c r="K213" s="5" t="str">
        <f t="shared" si="57"/>
        <v>CA</v>
      </c>
      <c r="L213" s="5" t="str">
        <f t="shared" si="58"/>
        <v>BA</v>
      </c>
      <c r="M213">
        <v>25.46</v>
      </c>
      <c r="R213" s="4">
        <f>(M121-AVERAGE($M$3:$M$290))^2</f>
        <v>0.57712509765626896</v>
      </c>
      <c r="AI213"/>
    </row>
    <row r="214" spans="2:35" x14ac:dyDescent="0.25">
      <c r="B214" s="5" t="s">
        <v>28</v>
      </c>
      <c r="C214" s="5" t="s">
        <v>27</v>
      </c>
      <c r="D214" t="str">
        <f t="shared" si="52"/>
        <v>0908</v>
      </c>
      <c r="E214" s="5" t="s">
        <v>28</v>
      </c>
      <c r="F214" s="5" t="str">
        <f>VLOOKUP(E214,'Base Original'!$B$4:$C$16,2,0)</f>
        <v>CBB</v>
      </c>
      <c r="G214" s="5" t="str">
        <f t="shared" si="53"/>
        <v>C</v>
      </c>
      <c r="H214" s="5" t="str">
        <f t="shared" si="54"/>
        <v>B</v>
      </c>
      <c r="I214" s="5" t="str">
        <f t="shared" si="55"/>
        <v>B</v>
      </c>
      <c r="J214" s="5" t="str">
        <f t="shared" si="56"/>
        <v>CB</v>
      </c>
      <c r="K214" s="5" t="str">
        <f t="shared" si="57"/>
        <v>CB</v>
      </c>
      <c r="L214" s="5" t="str">
        <f t="shared" si="58"/>
        <v>BB</v>
      </c>
      <c r="M214">
        <v>23.19</v>
      </c>
      <c r="R214" s="4">
        <f>(M122-AVERAGE($M$3:$M$290))^2</f>
        <v>2.4326250976562802</v>
      </c>
      <c r="AI214"/>
    </row>
    <row r="215" spans="2:35" x14ac:dyDescent="0.25">
      <c r="B215" s="5" t="s">
        <v>28</v>
      </c>
      <c r="C215" s="5" t="s">
        <v>28</v>
      </c>
      <c r="D215" t="str">
        <f t="shared" si="52"/>
        <v>0909</v>
      </c>
      <c r="E215" s="5">
        <v>10</v>
      </c>
      <c r="F215" s="5" t="str">
        <f>VLOOKUP(E215,'Base Original'!$B$4:$C$16,2,0)</f>
        <v>AAB</v>
      </c>
      <c r="G215" s="5" t="str">
        <f t="shared" si="53"/>
        <v>A</v>
      </c>
      <c r="H215" s="5" t="str">
        <f t="shared" si="54"/>
        <v>A</v>
      </c>
      <c r="I215" s="5" t="str">
        <f t="shared" si="55"/>
        <v>B</v>
      </c>
      <c r="J215" s="5" t="str">
        <f t="shared" si="56"/>
        <v>AA</v>
      </c>
      <c r="K215" s="5" t="str">
        <f t="shared" si="57"/>
        <v>AB</v>
      </c>
      <c r="L215" s="5" t="str">
        <f t="shared" si="58"/>
        <v>AB</v>
      </c>
      <c r="M215">
        <v>22.61</v>
      </c>
      <c r="R215" s="4">
        <f>(M123-AVERAGE($M$3:$M$290))^2</f>
        <v>0.96101259765622937</v>
      </c>
      <c r="AI215"/>
    </row>
    <row r="216" spans="2:35" x14ac:dyDescent="0.25">
      <c r="B216" s="5" t="s">
        <v>28</v>
      </c>
      <c r="C216" s="5">
        <v>10</v>
      </c>
      <c r="D216" t="str">
        <f t="shared" si="52"/>
        <v>0910</v>
      </c>
      <c r="E216" s="5" t="s">
        <v>26</v>
      </c>
      <c r="F216" s="5" t="str">
        <f>VLOOKUP(E216,'Base Original'!$B$4:$C$16,2,0)</f>
        <v>ABB</v>
      </c>
      <c r="G216" s="5" t="str">
        <f t="shared" si="53"/>
        <v>A</v>
      </c>
      <c r="H216" s="5" t="str">
        <f t="shared" si="54"/>
        <v>B</v>
      </c>
      <c r="I216" s="5" t="str">
        <f t="shared" si="55"/>
        <v>B</v>
      </c>
      <c r="J216" s="5" t="str">
        <f t="shared" si="56"/>
        <v>AB</v>
      </c>
      <c r="K216" s="5" t="str">
        <f t="shared" si="57"/>
        <v>AB</v>
      </c>
      <c r="L216" s="5" t="str">
        <f t="shared" si="58"/>
        <v>BB</v>
      </c>
      <c r="M216">
        <v>24.76</v>
      </c>
      <c r="R216" s="4">
        <f>(M124-AVERAGE($M$3:$M$290))^2</f>
        <v>7.8225097656256751E-2</v>
      </c>
      <c r="AI216"/>
    </row>
    <row r="217" spans="2:35" x14ac:dyDescent="0.25">
      <c r="B217" s="5" t="s">
        <v>28</v>
      </c>
      <c r="C217" s="5">
        <v>11</v>
      </c>
      <c r="D217" t="str">
        <f t="shared" si="52"/>
        <v>0911</v>
      </c>
      <c r="E217" s="5">
        <v>11</v>
      </c>
      <c r="F217" s="5" t="str">
        <f>VLOOKUP(E217,'Base Original'!$B$4:$C$16,2,0)</f>
        <v>BAB</v>
      </c>
      <c r="G217" s="5" t="str">
        <f t="shared" si="53"/>
        <v>B</v>
      </c>
      <c r="H217" s="5" t="str">
        <f t="shared" si="54"/>
        <v>A</v>
      </c>
      <c r="I217" s="5" t="str">
        <f t="shared" si="55"/>
        <v>B</v>
      </c>
      <c r="J217" s="5" t="str">
        <f t="shared" si="56"/>
        <v>BA</v>
      </c>
      <c r="K217" s="5" t="str">
        <f t="shared" si="57"/>
        <v>BB</v>
      </c>
      <c r="L217" s="5" t="str">
        <f t="shared" si="58"/>
        <v>AB</v>
      </c>
      <c r="M217">
        <v>24.15</v>
      </c>
      <c r="R217" s="4">
        <f>(M125-AVERAGE($M$3:$M$290))^2</f>
        <v>1.4876375976562739</v>
      </c>
      <c r="AI217"/>
    </row>
    <row r="218" spans="2:35" x14ac:dyDescent="0.25">
      <c r="B218" s="5" t="s">
        <v>28</v>
      </c>
      <c r="C218" s="5">
        <v>12</v>
      </c>
      <c r="D218" t="str">
        <f t="shared" si="52"/>
        <v>0912</v>
      </c>
      <c r="E218" s="5" t="s">
        <v>23</v>
      </c>
      <c r="F218" s="5" t="str">
        <f>VLOOKUP(E218,'Base Original'!$B$4:$C$16,2,0)</f>
        <v>ABA</v>
      </c>
      <c r="G218" s="5" t="str">
        <f t="shared" si="53"/>
        <v>A</v>
      </c>
      <c r="H218" s="5" t="str">
        <f t="shared" si="54"/>
        <v>B</v>
      </c>
      <c r="I218" s="5" t="str">
        <f t="shared" si="55"/>
        <v>A</v>
      </c>
      <c r="J218" s="5" t="str">
        <f t="shared" si="56"/>
        <v>AB</v>
      </c>
      <c r="K218" s="5" t="str">
        <f t="shared" si="57"/>
        <v>AA</v>
      </c>
      <c r="L218" s="5" t="str">
        <f t="shared" si="58"/>
        <v>BA</v>
      </c>
      <c r="M218">
        <v>24.19</v>
      </c>
      <c r="R218" s="4">
        <f>(M126-AVERAGE($M$3:$M$290))^2</f>
        <v>0.31395009765623633</v>
      </c>
      <c r="AI218"/>
    </row>
    <row r="219" spans="2:35" x14ac:dyDescent="0.25">
      <c r="B219" s="5">
        <v>10</v>
      </c>
      <c r="C219" s="5" t="s">
        <v>20</v>
      </c>
      <c r="D219" t="str">
        <f t="shared" si="52"/>
        <v>1001</v>
      </c>
      <c r="E219" s="5" t="s">
        <v>23</v>
      </c>
      <c r="F219" s="5" t="str">
        <f>VLOOKUP(E219,'Base Original'!$B$4:$C$16,2,0)</f>
        <v>ABA</v>
      </c>
      <c r="G219" s="5" t="str">
        <f t="shared" si="53"/>
        <v>A</v>
      </c>
      <c r="H219" s="5" t="str">
        <f t="shared" si="54"/>
        <v>B</v>
      </c>
      <c r="I219" s="5" t="str">
        <f t="shared" si="55"/>
        <v>A</v>
      </c>
      <c r="J219" s="5" t="str">
        <f t="shared" si="56"/>
        <v>AB</v>
      </c>
      <c r="K219" s="5" t="str">
        <f t="shared" si="57"/>
        <v>AA</v>
      </c>
      <c r="L219" s="5" t="str">
        <f t="shared" si="58"/>
        <v>BA</v>
      </c>
      <c r="M219">
        <v>24.45</v>
      </c>
      <c r="R219" s="4">
        <f>(M127-AVERAGE($M$3:$M$290))^2</f>
        <v>0.5179500976562641</v>
      </c>
      <c r="AI219"/>
    </row>
    <row r="220" spans="2:35" x14ac:dyDescent="0.25">
      <c r="B220" s="5">
        <v>10</v>
      </c>
      <c r="C220" s="5" t="s">
        <v>21</v>
      </c>
      <c r="D220" t="str">
        <f t="shared" si="52"/>
        <v>1002</v>
      </c>
      <c r="E220" s="5" t="s">
        <v>25</v>
      </c>
      <c r="F220" s="5" t="str">
        <f>VLOOKUP(E220,'Base Original'!$B$4:$C$16,2,0)</f>
        <v>CBA</v>
      </c>
      <c r="G220" s="5" t="str">
        <f t="shared" si="53"/>
        <v>C</v>
      </c>
      <c r="H220" s="5" t="str">
        <f t="shared" si="54"/>
        <v>B</v>
      </c>
      <c r="I220" s="5" t="str">
        <f t="shared" si="55"/>
        <v>A</v>
      </c>
      <c r="J220" s="5" t="str">
        <f t="shared" si="56"/>
        <v>CB</v>
      </c>
      <c r="K220" s="5" t="str">
        <f t="shared" si="57"/>
        <v>CA</v>
      </c>
      <c r="L220" s="5" t="str">
        <f t="shared" si="58"/>
        <v>BA</v>
      </c>
      <c r="M220">
        <v>22.94</v>
      </c>
      <c r="R220" s="4">
        <f>(M128-AVERAGE($M$3:$M$290))^2</f>
        <v>6.2343847656255467E-2</v>
      </c>
      <c r="AI220"/>
    </row>
    <row r="221" spans="2:35" x14ac:dyDescent="0.25">
      <c r="B221" s="5">
        <v>10</v>
      </c>
      <c r="C221" s="5" t="s">
        <v>22</v>
      </c>
      <c r="D221" t="str">
        <f t="shared" si="52"/>
        <v>1003</v>
      </c>
      <c r="E221" s="5" t="s">
        <v>27</v>
      </c>
      <c r="F221" s="5" t="str">
        <f>VLOOKUP(E221,'Base Original'!$B$4:$C$16,2,0)</f>
        <v>BBB</v>
      </c>
      <c r="G221" s="5" t="str">
        <f t="shared" si="53"/>
        <v>B</v>
      </c>
      <c r="H221" s="5" t="str">
        <f t="shared" si="54"/>
        <v>B</v>
      </c>
      <c r="I221" s="5" t="str">
        <f t="shared" si="55"/>
        <v>B</v>
      </c>
      <c r="J221" s="5" t="str">
        <f t="shared" si="56"/>
        <v>BB</v>
      </c>
      <c r="K221" s="5" t="str">
        <f t="shared" si="57"/>
        <v>BB</v>
      </c>
      <c r="L221" s="5" t="str">
        <f t="shared" si="58"/>
        <v>BB</v>
      </c>
      <c r="M221">
        <v>23.21</v>
      </c>
      <c r="R221" s="4">
        <f>(M129-AVERAGE($M$3:$M$290))^2</f>
        <v>1.7432250976562218</v>
      </c>
      <c r="AI221"/>
    </row>
    <row r="222" spans="2:35" x14ac:dyDescent="0.25">
      <c r="B222" s="5">
        <v>10</v>
      </c>
      <c r="C222" s="5" t="s">
        <v>23</v>
      </c>
      <c r="D222" t="str">
        <f t="shared" si="52"/>
        <v>1004</v>
      </c>
      <c r="E222" s="5" t="s">
        <v>21</v>
      </c>
      <c r="F222" s="5" t="str">
        <f>VLOOKUP(E222,'Base Original'!$B$4:$C$16,2,0)</f>
        <v>BAA</v>
      </c>
      <c r="G222" s="5" t="str">
        <f t="shared" si="53"/>
        <v>B</v>
      </c>
      <c r="H222" s="5" t="str">
        <f t="shared" si="54"/>
        <v>A</v>
      </c>
      <c r="I222" s="5" t="str">
        <f t="shared" si="55"/>
        <v>A</v>
      </c>
      <c r="J222" s="5" t="str">
        <f t="shared" si="56"/>
        <v>BA</v>
      </c>
      <c r="K222" s="5" t="str">
        <f t="shared" si="57"/>
        <v>BA</v>
      </c>
      <c r="L222" s="5" t="str">
        <f t="shared" si="58"/>
        <v>AA</v>
      </c>
      <c r="M222">
        <v>24.65</v>
      </c>
      <c r="R222" s="4">
        <f>(M130-AVERAGE($M$3:$M$290))^2</f>
        <v>1.9512597656253215E-2</v>
      </c>
      <c r="AI222"/>
    </row>
    <row r="223" spans="2:35" x14ac:dyDescent="0.25">
      <c r="B223" s="5">
        <v>10</v>
      </c>
      <c r="C223" s="5" t="s">
        <v>24</v>
      </c>
      <c r="D223" t="str">
        <f t="shared" si="52"/>
        <v>1005</v>
      </c>
      <c r="E223" s="5" t="s">
        <v>26</v>
      </c>
      <c r="F223" s="5" t="str">
        <f>VLOOKUP(E223,'Base Original'!$B$4:$C$16,2,0)</f>
        <v>ABB</v>
      </c>
      <c r="G223" s="5" t="str">
        <f t="shared" si="53"/>
        <v>A</v>
      </c>
      <c r="H223" s="5" t="str">
        <f t="shared" si="54"/>
        <v>B</v>
      </c>
      <c r="I223" s="5" t="str">
        <f t="shared" si="55"/>
        <v>B</v>
      </c>
      <c r="J223" s="5" t="str">
        <f t="shared" si="56"/>
        <v>AB</v>
      </c>
      <c r="K223" s="5" t="str">
        <f t="shared" si="57"/>
        <v>AB</v>
      </c>
      <c r="L223" s="5" t="str">
        <f t="shared" si="58"/>
        <v>BB</v>
      </c>
      <c r="M223">
        <v>23.33</v>
      </c>
      <c r="R223" s="4">
        <f>(M131-AVERAGE($M$3:$M$290))^2</f>
        <v>2.072700097656285</v>
      </c>
      <c r="AI223"/>
    </row>
    <row r="224" spans="2:35" x14ac:dyDescent="0.25">
      <c r="B224" s="5">
        <v>10</v>
      </c>
      <c r="C224" s="5" t="s">
        <v>25</v>
      </c>
      <c r="D224" t="str">
        <f t="shared" si="52"/>
        <v>1006</v>
      </c>
      <c r="E224" s="5">
        <v>10</v>
      </c>
      <c r="F224" s="5" t="str">
        <f>VLOOKUP(E224,'Base Original'!$B$4:$C$16,2,0)</f>
        <v>AAB</v>
      </c>
      <c r="G224" s="5" t="str">
        <f t="shared" si="53"/>
        <v>A</v>
      </c>
      <c r="H224" s="5" t="str">
        <f t="shared" si="54"/>
        <v>A</v>
      </c>
      <c r="I224" s="5" t="str">
        <f t="shared" si="55"/>
        <v>B</v>
      </c>
      <c r="J224" s="5" t="str">
        <f t="shared" si="56"/>
        <v>AA</v>
      </c>
      <c r="K224" s="5" t="str">
        <f t="shared" si="57"/>
        <v>AB</v>
      </c>
      <c r="L224" s="5" t="str">
        <f t="shared" si="58"/>
        <v>AB</v>
      </c>
      <c r="M224">
        <v>24.29</v>
      </c>
      <c r="R224" s="4">
        <f>(M132-AVERAGE($M$3:$M$290))^2</f>
        <v>2.1015938476562797</v>
      </c>
      <c r="AI224"/>
    </row>
    <row r="225" spans="2:35" x14ac:dyDescent="0.25">
      <c r="B225" s="5">
        <v>10</v>
      </c>
      <c r="C225" s="5" t="s">
        <v>26</v>
      </c>
      <c r="D225" t="str">
        <f t="shared" si="52"/>
        <v>1007</v>
      </c>
      <c r="E225" s="5" t="s">
        <v>28</v>
      </c>
      <c r="F225" s="5" t="str">
        <f>VLOOKUP(E225,'Base Original'!$B$4:$C$16,2,0)</f>
        <v>CBB</v>
      </c>
      <c r="G225" s="5" t="str">
        <f t="shared" si="53"/>
        <v>C</v>
      </c>
      <c r="H225" s="5" t="str">
        <f t="shared" si="54"/>
        <v>B</v>
      </c>
      <c r="I225" s="5" t="str">
        <f t="shared" si="55"/>
        <v>B</v>
      </c>
      <c r="J225" s="5" t="str">
        <f t="shared" si="56"/>
        <v>CB</v>
      </c>
      <c r="K225" s="5" t="str">
        <f t="shared" si="57"/>
        <v>CB</v>
      </c>
      <c r="L225" s="5" t="str">
        <f t="shared" si="58"/>
        <v>BB</v>
      </c>
      <c r="M225">
        <v>25.99</v>
      </c>
      <c r="R225" s="4">
        <f>(M133-AVERAGE($M$3:$M$290))^2</f>
        <v>0.67291259765623246</v>
      </c>
      <c r="AI225"/>
    </row>
    <row r="226" spans="2:35" x14ac:dyDescent="0.25">
      <c r="B226" s="5">
        <v>10</v>
      </c>
      <c r="C226" s="5" t="s">
        <v>27</v>
      </c>
      <c r="D226" t="str">
        <f t="shared" si="52"/>
        <v>1008</v>
      </c>
      <c r="E226" s="5">
        <v>11</v>
      </c>
      <c r="F226" s="5" t="str">
        <f>VLOOKUP(E226,'Base Original'!$B$4:$C$16,2,0)</f>
        <v>BAB</v>
      </c>
      <c r="G226" s="5" t="str">
        <f t="shared" si="53"/>
        <v>B</v>
      </c>
      <c r="H226" s="5" t="str">
        <f t="shared" si="54"/>
        <v>A</v>
      </c>
      <c r="I226" s="5" t="str">
        <f t="shared" si="55"/>
        <v>B</v>
      </c>
      <c r="J226" s="5" t="str">
        <f t="shared" si="56"/>
        <v>BA</v>
      </c>
      <c r="K226" s="5" t="str">
        <f t="shared" si="57"/>
        <v>BB</v>
      </c>
      <c r="L226" s="5" t="str">
        <f t="shared" si="58"/>
        <v>AB</v>
      </c>
      <c r="M226">
        <v>25</v>
      </c>
      <c r="R226" s="4">
        <f>(M134-AVERAGE($M$3:$M$290))^2</f>
        <v>4.1196313476562993</v>
      </c>
      <c r="AI226"/>
    </row>
    <row r="227" spans="2:35" x14ac:dyDescent="0.25">
      <c r="B227" s="5">
        <v>10</v>
      </c>
      <c r="C227" s="5" t="s">
        <v>28</v>
      </c>
      <c r="D227" t="str">
        <f t="shared" si="52"/>
        <v>1009</v>
      </c>
      <c r="E227" s="5" t="s">
        <v>20</v>
      </c>
      <c r="F227" s="5" t="str">
        <f>VLOOKUP(E227,'Base Original'!$B$4:$C$16,2,0)</f>
        <v>AAA</v>
      </c>
      <c r="G227" s="5" t="str">
        <f t="shared" si="53"/>
        <v>A</v>
      </c>
      <c r="H227" s="5" t="str">
        <f t="shared" si="54"/>
        <v>A</v>
      </c>
      <c r="I227" s="5" t="str">
        <f t="shared" si="55"/>
        <v>A</v>
      </c>
      <c r="J227" s="5" t="str">
        <f t="shared" si="56"/>
        <v>AA</v>
      </c>
      <c r="K227" s="5" t="str">
        <f t="shared" si="57"/>
        <v>AA</v>
      </c>
      <c r="L227" s="5" t="str">
        <f t="shared" si="58"/>
        <v>AA</v>
      </c>
      <c r="M227">
        <v>25.61</v>
      </c>
      <c r="R227" s="4">
        <f>(M135-AVERAGE($M$3:$M$290))^2</f>
        <v>2.0745000976562222</v>
      </c>
      <c r="AI227"/>
    </row>
    <row r="228" spans="2:35" x14ac:dyDescent="0.25">
      <c r="B228" s="5">
        <v>10</v>
      </c>
      <c r="C228" s="5">
        <v>10</v>
      </c>
      <c r="D228" t="str">
        <f t="shared" si="52"/>
        <v>1010</v>
      </c>
      <c r="E228" s="5" t="s">
        <v>22</v>
      </c>
      <c r="F228" s="5" t="str">
        <f>VLOOKUP(E228,'Base Original'!$B$4:$C$16,2,0)</f>
        <v>CAA</v>
      </c>
      <c r="G228" s="5" t="str">
        <f t="shared" si="53"/>
        <v>C</v>
      </c>
      <c r="H228" s="5" t="str">
        <f t="shared" si="54"/>
        <v>A</v>
      </c>
      <c r="I228" s="5" t="str">
        <f t="shared" si="55"/>
        <v>A</v>
      </c>
      <c r="J228" s="5" t="str">
        <f t="shared" si="56"/>
        <v>CA</v>
      </c>
      <c r="K228" s="5" t="str">
        <f t="shared" si="57"/>
        <v>CA</v>
      </c>
      <c r="L228" s="5" t="str">
        <f t="shared" si="58"/>
        <v>AA</v>
      </c>
      <c r="M228">
        <v>23.36</v>
      </c>
      <c r="R228" s="4">
        <f>(M136-AVERAGE($M$3:$M$290))^2</f>
        <v>2.5910938476562833</v>
      </c>
      <c r="AI228"/>
    </row>
    <row r="229" spans="2:35" x14ac:dyDescent="0.25">
      <c r="B229" s="5">
        <v>10</v>
      </c>
      <c r="C229" s="5">
        <v>11</v>
      </c>
      <c r="D229" t="str">
        <f t="shared" si="52"/>
        <v>1011</v>
      </c>
      <c r="E229" s="5">
        <v>12</v>
      </c>
      <c r="F229" s="5" t="str">
        <f>VLOOKUP(E229,'Base Original'!$B$4:$C$16,2,0)</f>
        <v>CAB</v>
      </c>
      <c r="G229" s="5" t="str">
        <f t="shared" si="53"/>
        <v>C</v>
      </c>
      <c r="H229" s="5" t="str">
        <f t="shared" si="54"/>
        <v>A</v>
      </c>
      <c r="I229" s="5" t="str">
        <f t="shared" si="55"/>
        <v>B</v>
      </c>
      <c r="J229" s="5" t="str">
        <f t="shared" si="56"/>
        <v>CA</v>
      </c>
      <c r="K229" s="5" t="str">
        <f t="shared" si="57"/>
        <v>CB</v>
      </c>
      <c r="L229" s="5" t="str">
        <f t="shared" si="58"/>
        <v>AB</v>
      </c>
      <c r="M229">
        <v>24.44</v>
      </c>
      <c r="R229" s="4">
        <f>(M137-AVERAGE($M$3:$M$290))^2</f>
        <v>7.2731347656255677E-2</v>
      </c>
      <c r="AI229"/>
    </row>
    <row r="230" spans="2:35" x14ac:dyDescent="0.25">
      <c r="B230" s="5">
        <v>10</v>
      </c>
      <c r="C230" s="5">
        <v>12</v>
      </c>
      <c r="D230" t="str">
        <f t="shared" si="52"/>
        <v>1012</v>
      </c>
      <c r="E230" s="5" t="s">
        <v>24</v>
      </c>
      <c r="F230" s="5" t="str">
        <f>VLOOKUP(E230,'Base Original'!$B$4:$C$16,2,0)</f>
        <v>BBA</v>
      </c>
      <c r="G230" s="5" t="str">
        <f t="shared" si="53"/>
        <v>B</v>
      </c>
      <c r="H230" s="5" t="str">
        <f t="shared" si="54"/>
        <v>B</v>
      </c>
      <c r="I230" s="5" t="str">
        <f t="shared" si="55"/>
        <v>A</v>
      </c>
      <c r="J230" s="5" t="str">
        <f t="shared" si="56"/>
        <v>BB</v>
      </c>
      <c r="K230" s="5" t="str">
        <f t="shared" si="57"/>
        <v>BA</v>
      </c>
      <c r="L230" s="5" t="str">
        <f t="shared" si="58"/>
        <v>BA</v>
      </c>
      <c r="M230">
        <v>23.93</v>
      </c>
      <c r="R230" s="4">
        <f>(M138-AVERAGE($M$3:$M$290))^2</f>
        <v>3.3500438476562038</v>
      </c>
      <c r="AI230"/>
    </row>
    <row r="231" spans="2:35" x14ac:dyDescent="0.25">
      <c r="B231" s="5">
        <v>10</v>
      </c>
      <c r="C231" s="5" t="s">
        <v>20</v>
      </c>
      <c r="D231" t="str">
        <f t="shared" si="52"/>
        <v>1001</v>
      </c>
      <c r="E231" s="5" t="s">
        <v>23</v>
      </c>
      <c r="F231" s="5" t="str">
        <f>VLOOKUP(E231,'Base Original'!$B$4:$C$16,2,0)</f>
        <v>ABA</v>
      </c>
      <c r="G231" s="5" t="str">
        <f t="shared" si="53"/>
        <v>A</v>
      </c>
      <c r="H231" s="5" t="str">
        <f t="shared" si="54"/>
        <v>B</v>
      </c>
      <c r="I231" s="5" t="str">
        <f t="shared" si="55"/>
        <v>A</v>
      </c>
      <c r="J231" s="5" t="str">
        <f t="shared" si="56"/>
        <v>AB</v>
      </c>
      <c r="K231" s="5" t="str">
        <f t="shared" si="57"/>
        <v>AA</v>
      </c>
      <c r="L231" s="5" t="str">
        <f t="shared" si="58"/>
        <v>BA</v>
      </c>
      <c r="M231">
        <v>24.25</v>
      </c>
      <c r="R231" s="4">
        <f>(M139-AVERAGE($M$3:$M$290))^2</f>
        <v>1.9889813476562195</v>
      </c>
      <c r="AI231"/>
    </row>
    <row r="232" spans="2:35" x14ac:dyDescent="0.25">
      <c r="B232" s="5">
        <v>10</v>
      </c>
      <c r="C232" s="5" t="s">
        <v>21</v>
      </c>
      <c r="D232" t="str">
        <f t="shared" si="52"/>
        <v>1002</v>
      </c>
      <c r="E232" s="5" t="s">
        <v>25</v>
      </c>
      <c r="F232" s="5" t="str">
        <f>VLOOKUP(E232,'Base Original'!$B$4:$C$16,2,0)</f>
        <v>CBA</v>
      </c>
      <c r="G232" s="5" t="str">
        <f t="shared" si="53"/>
        <v>C</v>
      </c>
      <c r="H232" s="5" t="str">
        <f t="shared" si="54"/>
        <v>B</v>
      </c>
      <c r="I232" s="5" t="str">
        <f t="shared" si="55"/>
        <v>A</v>
      </c>
      <c r="J232" s="5" t="str">
        <f t="shared" si="56"/>
        <v>CB</v>
      </c>
      <c r="K232" s="5" t="str">
        <f t="shared" si="57"/>
        <v>CA</v>
      </c>
      <c r="L232" s="5" t="str">
        <f t="shared" si="58"/>
        <v>BA</v>
      </c>
      <c r="M232">
        <v>25.05</v>
      </c>
      <c r="R232" s="4">
        <f>(M140-AVERAGE($M$3:$M$290))^2</f>
        <v>0.88301259765627294</v>
      </c>
      <c r="AI232"/>
    </row>
    <row r="233" spans="2:35" x14ac:dyDescent="0.25">
      <c r="B233" s="5">
        <v>10</v>
      </c>
      <c r="C233" s="5" t="s">
        <v>22</v>
      </c>
      <c r="D233" t="str">
        <f t="shared" si="52"/>
        <v>1003</v>
      </c>
      <c r="E233" s="5" t="s">
        <v>27</v>
      </c>
      <c r="F233" s="5" t="str">
        <f>VLOOKUP(E233,'Base Original'!$B$4:$C$16,2,0)</f>
        <v>BBB</v>
      </c>
      <c r="G233" s="5" t="str">
        <f t="shared" si="53"/>
        <v>B</v>
      </c>
      <c r="H233" s="5" t="str">
        <f t="shared" si="54"/>
        <v>B</v>
      </c>
      <c r="I233" s="5" t="str">
        <f t="shared" si="55"/>
        <v>B</v>
      </c>
      <c r="J233" s="5" t="str">
        <f t="shared" si="56"/>
        <v>BB</v>
      </c>
      <c r="K233" s="5" t="str">
        <f t="shared" si="57"/>
        <v>BB</v>
      </c>
      <c r="L233" s="5" t="str">
        <f t="shared" si="58"/>
        <v>BB</v>
      </c>
      <c r="M233">
        <v>23.32</v>
      </c>
      <c r="R233" s="4">
        <f>(M141-AVERAGE($M$3:$M$290))^2</f>
        <v>0.68941884765622896</v>
      </c>
      <c r="AI233"/>
    </row>
    <row r="234" spans="2:35" x14ac:dyDescent="0.25">
      <c r="B234" s="5">
        <v>10</v>
      </c>
      <c r="C234" s="5" t="s">
        <v>23</v>
      </c>
      <c r="D234" t="str">
        <f t="shared" si="52"/>
        <v>1004</v>
      </c>
      <c r="E234" s="5" t="s">
        <v>21</v>
      </c>
      <c r="F234" s="5" t="str">
        <f>VLOOKUP(E234,'Base Original'!$B$4:$C$16,2,0)</f>
        <v>BAA</v>
      </c>
      <c r="G234" s="5" t="str">
        <f t="shared" si="53"/>
        <v>B</v>
      </c>
      <c r="H234" s="5" t="str">
        <f t="shared" si="54"/>
        <v>A</v>
      </c>
      <c r="I234" s="5" t="str">
        <f t="shared" si="55"/>
        <v>A</v>
      </c>
      <c r="J234" s="5" t="str">
        <f t="shared" si="56"/>
        <v>BA</v>
      </c>
      <c r="K234" s="5" t="str">
        <f t="shared" si="57"/>
        <v>BA</v>
      </c>
      <c r="L234" s="5" t="str">
        <f t="shared" si="58"/>
        <v>AA</v>
      </c>
      <c r="M234">
        <v>25.2</v>
      </c>
      <c r="R234" s="4">
        <f>(M142-AVERAGE($M$3:$M$290))^2</f>
        <v>1.1455688476562271</v>
      </c>
      <c r="AI234"/>
    </row>
    <row r="235" spans="2:35" x14ac:dyDescent="0.25">
      <c r="B235" s="5">
        <v>10</v>
      </c>
      <c r="C235" s="5" t="s">
        <v>24</v>
      </c>
      <c r="D235" t="str">
        <f t="shared" si="52"/>
        <v>1005</v>
      </c>
      <c r="E235" s="5" t="s">
        <v>26</v>
      </c>
      <c r="F235" s="5" t="str">
        <f>VLOOKUP(E235,'Base Original'!$B$4:$C$16,2,0)</f>
        <v>ABB</v>
      </c>
      <c r="G235" s="5" t="str">
        <f t="shared" si="53"/>
        <v>A</v>
      </c>
      <c r="H235" s="5" t="str">
        <f t="shared" si="54"/>
        <v>B</v>
      </c>
      <c r="I235" s="5" t="str">
        <f t="shared" si="55"/>
        <v>B</v>
      </c>
      <c r="J235" s="5" t="str">
        <f t="shared" si="56"/>
        <v>AB</v>
      </c>
      <c r="K235" s="5" t="str">
        <f t="shared" si="57"/>
        <v>AB</v>
      </c>
      <c r="L235" s="5" t="str">
        <f t="shared" si="58"/>
        <v>BB</v>
      </c>
      <c r="M235">
        <v>23.64</v>
      </c>
      <c r="R235" s="4">
        <f>(M143-AVERAGE($M$3:$M$290))^2</f>
        <v>1.4325097656252858E-2</v>
      </c>
      <c r="AI235"/>
    </row>
    <row r="236" spans="2:35" x14ac:dyDescent="0.25">
      <c r="B236" s="5">
        <v>10</v>
      </c>
      <c r="C236" s="5" t="s">
        <v>25</v>
      </c>
      <c r="D236" t="str">
        <f t="shared" si="52"/>
        <v>1006</v>
      </c>
      <c r="E236" s="5">
        <v>10</v>
      </c>
      <c r="F236" s="5" t="str">
        <f>VLOOKUP(E236,'Base Original'!$B$4:$C$16,2,0)</f>
        <v>AAB</v>
      </c>
      <c r="G236" s="5" t="str">
        <f t="shared" si="53"/>
        <v>A</v>
      </c>
      <c r="H236" s="5" t="str">
        <f t="shared" si="54"/>
        <v>A</v>
      </c>
      <c r="I236" s="5" t="str">
        <f t="shared" si="55"/>
        <v>B</v>
      </c>
      <c r="J236" s="5" t="str">
        <f t="shared" si="56"/>
        <v>AA</v>
      </c>
      <c r="K236" s="5" t="str">
        <f t="shared" si="57"/>
        <v>AB</v>
      </c>
      <c r="L236" s="5" t="str">
        <f t="shared" si="58"/>
        <v>AB</v>
      </c>
      <c r="M236">
        <v>24.18</v>
      </c>
      <c r="R236" s="4">
        <f>(M144-AVERAGE($M$3:$M$290))^2</f>
        <v>0.72303134765623378</v>
      </c>
      <c r="AI236"/>
    </row>
    <row r="237" spans="2:35" x14ac:dyDescent="0.25">
      <c r="B237" s="5">
        <v>10</v>
      </c>
      <c r="C237" s="5" t="s">
        <v>26</v>
      </c>
      <c r="D237" t="str">
        <f t="shared" si="52"/>
        <v>1007</v>
      </c>
      <c r="E237" s="5" t="s">
        <v>28</v>
      </c>
      <c r="F237" s="5" t="str">
        <f>VLOOKUP(E237,'Base Original'!$B$4:$C$16,2,0)</f>
        <v>CBB</v>
      </c>
      <c r="G237" s="5" t="str">
        <f t="shared" si="53"/>
        <v>C</v>
      </c>
      <c r="H237" s="5" t="str">
        <f t="shared" si="54"/>
        <v>B</v>
      </c>
      <c r="I237" s="5" t="str">
        <f t="shared" si="55"/>
        <v>B</v>
      </c>
      <c r="J237" s="5" t="str">
        <f t="shared" si="56"/>
        <v>CB</v>
      </c>
      <c r="K237" s="5" t="str">
        <f t="shared" si="57"/>
        <v>CB</v>
      </c>
      <c r="L237" s="5" t="str">
        <f t="shared" si="58"/>
        <v>BB</v>
      </c>
      <c r="M237">
        <v>25.72</v>
      </c>
      <c r="R237" s="4">
        <f>(M145-AVERAGE($M$3:$M$290))^2</f>
        <v>0.44931884765623764</v>
      </c>
      <c r="AI237"/>
    </row>
    <row r="238" spans="2:35" x14ac:dyDescent="0.25">
      <c r="B238" s="5">
        <v>10</v>
      </c>
      <c r="C238" s="5" t="s">
        <v>27</v>
      </c>
      <c r="D238" t="str">
        <f t="shared" si="52"/>
        <v>1008</v>
      </c>
      <c r="E238" s="5">
        <v>11</v>
      </c>
      <c r="F238" s="5" t="str">
        <f>VLOOKUP(E238,'Base Original'!$B$4:$C$16,2,0)</f>
        <v>BAB</v>
      </c>
      <c r="G238" s="5" t="str">
        <f t="shared" si="53"/>
        <v>B</v>
      </c>
      <c r="H238" s="5" t="str">
        <f t="shared" si="54"/>
        <v>A</v>
      </c>
      <c r="I238" s="5" t="str">
        <f t="shared" si="55"/>
        <v>B</v>
      </c>
      <c r="J238" s="5" t="str">
        <f t="shared" si="56"/>
        <v>BA</v>
      </c>
      <c r="K238" s="5" t="str">
        <f t="shared" si="57"/>
        <v>BB</v>
      </c>
      <c r="L238" s="5" t="str">
        <f t="shared" si="58"/>
        <v>AB</v>
      </c>
      <c r="M238">
        <v>23.42</v>
      </c>
      <c r="R238" s="4">
        <f>(M146-AVERAGE($M$3:$M$290))^2</f>
        <v>4.4086875976563018</v>
      </c>
      <c r="AI238"/>
    </row>
    <row r="239" spans="2:35" x14ac:dyDescent="0.25">
      <c r="B239" s="5">
        <v>10</v>
      </c>
      <c r="C239" s="5" t="s">
        <v>28</v>
      </c>
      <c r="D239" t="str">
        <f t="shared" si="52"/>
        <v>1009</v>
      </c>
      <c r="E239" s="5" t="s">
        <v>20</v>
      </c>
      <c r="F239" s="5" t="str">
        <f>VLOOKUP(E239,'Base Original'!$B$4:$C$16,2,0)</f>
        <v>AAA</v>
      </c>
      <c r="G239" s="5" t="str">
        <f t="shared" si="53"/>
        <v>A</v>
      </c>
      <c r="H239" s="5" t="str">
        <f t="shared" si="54"/>
        <v>A</v>
      </c>
      <c r="I239" s="5" t="str">
        <f t="shared" si="55"/>
        <v>A</v>
      </c>
      <c r="J239" s="5" t="str">
        <f t="shared" si="56"/>
        <v>AA</v>
      </c>
      <c r="K239" s="5" t="str">
        <f t="shared" si="57"/>
        <v>AA</v>
      </c>
      <c r="L239" s="5" t="str">
        <f t="shared" si="58"/>
        <v>AA</v>
      </c>
      <c r="M239">
        <v>24.68</v>
      </c>
      <c r="R239" s="4">
        <f>(M147-AVERAGE($M$3:$M$290))^2</f>
        <v>0.1938750976562415</v>
      </c>
      <c r="AI239"/>
    </row>
    <row r="240" spans="2:35" x14ac:dyDescent="0.25">
      <c r="B240" s="5">
        <v>10</v>
      </c>
      <c r="C240" s="5">
        <v>10</v>
      </c>
      <c r="D240" t="str">
        <f t="shared" si="52"/>
        <v>1010</v>
      </c>
      <c r="E240" s="5" t="s">
        <v>22</v>
      </c>
      <c r="F240" s="5" t="str">
        <f>VLOOKUP(E240,'Base Original'!$B$4:$C$16,2,0)</f>
        <v>CAA</v>
      </c>
      <c r="G240" s="5" t="str">
        <f t="shared" si="53"/>
        <v>C</v>
      </c>
      <c r="H240" s="5" t="str">
        <f t="shared" si="54"/>
        <v>A</v>
      </c>
      <c r="I240" s="5" t="str">
        <f t="shared" si="55"/>
        <v>A</v>
      </c>
      <c r="J240" s="5" t="str">
        <f t="shared" si="56"/>
        <v>CA</v>
      </c>
      <c r="K240" s="5" t="str">
        <f t="shared" si="57"/>
        <v>CA</v>
      </c>
      <c r="L240" s="5" t="str">
        <f t="shared" si="58"/>
        <v>AA</v>
      </c>
      <c r="M240">
        <v>23.04</v>
      </c>
      <c r="R240" s="4">
        <f>(M148-AVERAGE($M$3:$M$290))^2</f>
        <v>0.1523438476562419</v>
      </c>
      <c r="AI240"/>
    </row>
    <row r="241" spans="2:35" x14ac:dyDescent="0.25">
      <c r="B241" s="5">
        <v>10</v>
      </c>
      <c r="C241" s="5">
        <v>11</v>
      </c>
      <c r="D241" t="str">
        <f t="shared" si="52"/>
        <v>1011</v>
      </c>
      <c r="E241" s="5">
        <v>12</v>
      </c>
      <c r="F241" s="5" t="str">
        <f>VLOOKUP(E241,'Base Original'!$B$4:$C$16,2,0)</f>
        <v>CAB</v>
      </c>
      <c r="G241" s="5" t="str">
        <f t="shared" si="53"/>
        <v>C</v>
      </c>
      <c r="H241" s="5" t="str">
        <f t="shared" si="54"/>
        <v>A</v>
      </c>
      <c r="I241" s="5" t="str">
        <f t="shared" si="55"/>
        <v>B</v>
      </c>
      <c r="J241" s="5" t="str">
        <f t="shared" si="56"/>
        <v>CA</v>
      </c>
      <c r="K241" s="5" t="str">
        <f t="shared" si="57"/>
        <v>CB</v>
      </c>
      <c r="L241" s="5" t="str">
        <f t="shared" si="58"/>
        <v>AB</v>
      </c>
      <c r="M241">
        <v>24.41</v>
      </c>
      <c r="R241" s="4">
        <f>(M149-AVERAGE($M$3:$M$290))^2</f>
        <v>1.1670750976562227</v>
      </c>
      <c r="AI241"/>
    </row>
    <row r="242" spans="2:35" x14ac:dyDescent="0.25">
      <c r="B242" s="5">
        <v>10</v>
      </c>
      <c r="C242" s="5">
        <v>12</v>
      </c>
      <c r="D242" t="str">
        <f t="shared" si="52"/>
        <v>1012</v>
      </c>
      <c r="E242" s="5" t="s">
        <v>24</v>
      </c>
      <c r="F242" s="5" t="str">
        <f>VLOOKUP(E242,'Base Original'!$B$4:$C$16,2,0)</f>
        <v>BBA</v>
      </c>
      <c r="G242" s="5" t="str">
        <f t="shared" si="53"/>
        <v>B</v>
      </c>
      <c r="H242" s="5" t="str">
        <f t="shared" si="54"/>
        <v>B</v>
      </c>
      <c r="I242" s="5" t="str">
        <f t="shared" si="55"/>
        <v>A</v>
      </c>
      <c r="J242" s="5" t="str">
        <f t="shared" si="56"/>
        <v>BB</v>
      </c>
      <c r="K242" s="5" t="str">
        <f t="shared" si="57"/>
        <v>BA</v>
      </c>
      <c r="L242" s="5" t="str">
        <f t="shared" si="58"/>
        <v>BA</v>
      </c>
      <c r="M242">
        <v>25.6</v>
      </c>
      <c r="R242" s="4">
        <f>(M150-AVERAGE($M$3:$M$290))^2</f>
        <v>0.72303134765623378</v>
      </c>
      <c r="AI242"/>
    </row>
    <row r="243" spans="2:35" x14ac:dyDescent="0.25">
      <c r="B243" s="5">
        <v>11</v>
      </c>
      <c r="C243" s="5" t="s">
        <v>20</v>
      </c>
      <c r="D243" t="str">
        <f t="shared" si="52"/>
        <v>1101</v>
      </c>
      <c r="E243" s="5">
        <v>12</v>
      </c>
      <c r="F243" s="5" t="str">
        <f>VLOOKUP(E243,'Base Original'!$B$4:$C$16,2,0)</f>
        <v>CAB</v>
      </c>
      <c r="G243" s="5" t="str">
        <f t="shared" si="53"/>
        <v>C</v>
      </c>
      <c r="H243" s="5" t="str">
        <f t="shared" si="54"/>
        <v>A</v>
      </c>
      <c r="I243" s="5" t="str">
        <f t="shared" si="55"/>
        <v>B</v>
      </c>
      <c r="J243" s="5" t="str">
        <f t="shared" si="56"/>
        <v>CA</v>
      </c>
      <c r="K243" s="5" t="str">
        <f t="shared" si="57"/>
        <v>CB</v>
      </c>
      <c r="L243" s="5" t="str">
        <f t="shared" si="58"/>
        <v>AB</v>
      </c>
      <c r="M243">
        <v>24.59</v>
      </c>
      <c r="R243" s="4">
        <f>(M151-AVERAGE($M$3:$M$290))^2</f>
        <v>1.0634765624980655E-4</v>
      </c>
      <c r="AI243"/>
    </row>
    <row r="244" spans="2:35" x14ac:dyDescent="0.25">
      <c r="B244" s="5">
        <v>11</v>
      </c>
      <c r="C244" s="5" t="s">
        <v>21</v>
      </c>
      <c r="D244" t="str">
        <f t="shared" si="52"/>
        <v>1102</v>
      </c>
      <c r="E244" s="5" t="s">
        <v>27</v>
      </c>
      <c r="F244" s="5" t="str">
        <f>VLOOKUP(E244,'Base Original'!$B$4:$C$16,2,0)</f>
        <v>BBB</v>
      </c>
      <c r="G244" s="5" t="str">
        <f t="shared" si="53"/>
        <v>B</v>
      </c>
      <c r="H244" s="5" t="str">
        <f t="shared" si="54"/>
        <v>B</v>
      </c>
      <c r="I244" s="5" t="str">
        <f t="shared" si="55"/>
        <v>B</v>
      </c>
      <c r="J244" s="5" t="str">
        <f t="shared" si="56"/>
        <v>BB</v>
      </c>
      <c r="K244" s="5" t="str">
        <f t="shared" si="57"/>
        <v>BB</v>
      </c>
      <c r="L244" s="5" t="str">
        <f t="shared" si="58"/>
        <v>BB</v>
      </c>
      <c r="M244">
        <v>23.39</v>
      </c>
      <c r="R244" s="4">
        <f>(M152-AVERAGE($M$3:$M$290))^2</f>
        <v>0.15185634765625897</v>
      </c>
      <c r="AI244"/>
    </row>
    <row r="245" spans="2:35" x14ac:dyDescent="0.25">
      <c r="B245" s="5">
        <v>11</v>
      </c>
      <c r="C245" s="5" t="s">
        <v>22</v>
      </c>
      <c r="D245" t="str">
        <f t="shared" si="52"/>
        <v>1103</v>
      </c>
      <c r="E245" s="5" t="s">
        <v>23</v>
      </c>
      <c r="F245" s="5" t="str">
        <f>VLOOKUP(E245,'Base Original'!$B$4:$C$16,2,0)</f>
        <v>ABA</v>
      </c>
      <c r="G245" s="5" t="str">
        <f t="shared" si="53"/>
        <v>A</v>
      </c>
      <c r="H245" s="5" t="str">
        <f t="shared" si="54"/>
        <v>B</v>
      </c>
      <c r="I245" s="5" t="str">
        <f t="shared" si="55"/>
        <v>A</v>
      </c>
      <c r="J245" s="5" t="str">
        <f t="shared" si="56"/>
        <v>AB</v>
      </c>
      <c r="K245" s="5" t="str">
        <f t="shared" si="57"/>
        <v>AA</v>
      </c>
      <c r="L245" s="5" t="str">
        <f t="shared" si="58"/>
        <v>BA</v>
      </c>
      <c r="M245">
        <v>24.43</v>
      </c>
      <c r="R245" s="4">
        <f>(M153-AVERAGE($M$3:$M$290))^2</f>
        <v>4.3968847656254945E-2</v>
      </c>
      <c r="AI245"/>
    </row>
    <row r="246" spans="2:35" x14ac:dyDescent="0.25">
      <c r="B246" s="5">
        <v>11</v>
      </c>
      <c r="C246" s="5" t="s">
        <v>23</v>
      </c>
      <c r="D246" t="str">
        <f t="shared" si="52"/>
        <v>1104</v>
      </c>
      <c r="E246" s="5">
        <v>10</v>
      </c>
      <c r="F246" s="5" t="str">
        <f>VLOOKUP(E246,'Base Original'!$B$4:$C$16,2,0)</f>
        <v>AAB</v>
      </c>
      <c r="G246" s="5" t="str">
        <f t="shared" si="53"/>
        <v>A</v>
      </c>
      <c r="H246" s="5" t="str">
        <f t="shared" si="54"/>
        <v>A</v>
      </c>
      <c r="I246" s="5" t="str">
        <f t="shared" si="55"/>
        <v>B</v>
      </c>
      <c r="J246" s="5" t="str">
        <f t="shared" si="56"/>
        <v>AA</v>
      </c>
      <c r="K246" s="5" t="str">
        <f t="shared" si="57"/>
        <v>AB</v>
      </c>
      <c r="L246" s="5" t="str">
        <f t="shared" si="58"/>
        <v>AB</v>
      </c>
      <c r="M246">
        <v>22.5</v>
      </c>
      <c r="R246" s="4">
        <f>(M154-AVERAGE($M$3:$M$290))^2</f>
        <v>2.5271063476562845</v>
      </c>
      <c r="AI246"/>
    </row>
    <row r="247" spans="2:35" x14ac:dyDescent="0.25">
      <c r="B247" s="5">
        <v>11</v>
      </c>
      <c r="C247" s="5" t="s">
        <v>24</v>
      </c>
      <c r="D247" t="str">
        <f t="shared" si="52"/>
        <v>1105</v>
      </c>
      <c r="E247" s="5" t="s">
        <v>20</v>
      </c>
      <c r="F247" s="5" t="str">
        <f>VLOOKUP(E247,'Base Original'!$B$4:$C$16,2,0)</f>
        <v>AAA</v>
      </c>
      <c r="G247" s="5" t="str">
        <f t="shared" si="53"/>
        <v>A</v>
      </c>
      <c r="H247" s="5" t="str">
        <f t="shared" si="54"/>
        <v>A</v>
      </c>
      <c r="I247" s="5" t="str">
        <f t="shared" si="55"/>
        <v>A</v>
      </c>
      <c r="J247" s="5" t="str">
        <f t="shared" si="56"/>
        <v>AA</v>
      </c>
      <c r="K247" s="5" t="str">
        <f t="shared" si="57"/>
        <v>AA</v>
      </c>
      <c r="L247" s="5" t="str">
        <f t="shared" si="58"/>
        <v>AA</v>
      </c>
      <c r="M247">
        <v>23.25</v>
      </c>
      <c r="R247" s="4">
        <f>(M155-AVERAGE($M$3:$M$290))^2</f>
        <v>0.14463759765624093</v>
      </c>
      <c r="AI247"/>
    </row>
    <row r="248" spans="2:35" x14ac:dyDescent="0.25">
      <c r="B248" s="5">
        <v>11</v>
      </c>
      <c r="C248" s="5" t="s">
        <v>25</v>
      </c>
      <c r="D248" t="str">
        <f t="shared" si="52"/>
        <v>1106</v>
      </c>
      <c r="E248" s="5">
        <v>11</v>
      </c>
      <c r="F248" s="5" t="str">
        <f>VLOOKUP(E248,'Base Original'!$B$4:$C$16,2,0)</f>
        <v>BAB</v>
      </c>
      <c r="G248" s="5" t="str">
        <f t="shared" si="53"/>
        <v>B</v>
      </c>
      <c r="H248" s="5" t="str">
        <f t="shared" si="54"/>
        <v>A</v>
      </c>
      <c r="I248" s="5" t="str">
        <f t="shared" si="55"/>
        <v>B</v>
      </c>
      <c r="J248" s="5" t="str">
        <f t="shared" si="56"/>
        <v>BA</v>
      </c>
      <c r="K248" s="5" t="str">
        <f t="shared" si="57"/>
        <v>BB</v>
      </c>
      <c r="L248" s="5" t="str">
        <f t="shared" si="58"/>
        <v>AB</v>
      </c>
      <c r="M248">
        <v>22.43</v>
      </c>
      <c r="R248" s="4">
        <f>(M156-AVERAGE($M$3:$M$290))^2</f>
        <v>0.27072509765623815</v>
      </c>
      <c r="AI248"/>
    </row>
    <row r="249" spans="2:35" x14ac:dyDescent="0.25">
      <c r="B249" s="5">
        <v>11</v>
      </c>
      <c r="C249" s="5" t="s">
        <v>26</v>
      </c>
      <c r="D249" t="str">
        <f t="shared" si="52"/>
        <v>1107</v>
      </c>
      <c r="E249" s="5" t="s">
        <v>21</v>
      </c>
      <c r="F249" s="5" t="str">
        <f>VLOOKUP(E249,'Base Original'!$B$4:$C$16,2,0)</f>
        <v>BAA</v>
      </c>
      <c r="G249" s="5" t="str">
        <f t="shared" si="53"/>
        <v>B</v>
      </c>
      <c r="H249" s="5" t="str">
        <f t="shared" si="54"/>
        <v>A</v>
      </c>
      <c r="I249" s="5" t="str">
        <f t="shared" si="55"/>
        <v>A</v>
      </c>
      <c r="J249" s="5" t="str">
        <f t="shared" si="56"/>
        <v>BA</v>
      </c>
      <c r="K249" s="5" t="str">
        <f t="shared" si="57"/>
        <v>BA</v>
      </c>
      <c r="L249" s="5" t="str">
        <f t="shared" si="58"/>
        <v>AA</v>
      </c>
      <c r="M249">
        <v>22.85</v>
      </c>
      <c r="R249" s="4">
        <f>(M157-AVERAGE($M$3:$M$290))^2</f>
        <v>1.2551000976562277</v>
      </c>
      <c r="AI249"/>
    </row>
    <row r="250" spans="2:35" x14ac:dyDescent="0.25">
      <c r="B250" s="5">
        <v>11</v>
      </c>
      <c r="C250" s="5" t="s">
        <v>27</v>
      </c>
      <c r="D250" t="str">
        <f t="shared" si="52"/>
        <v>1108</v>
      </c>
      <c r="E250" s="5" t="s">
        <v>22</v>
      </c>
      <c r="F250" s="5" t="str">
        <f>VLOOKUP(E250,'Base Original'!$B$4:$C$16,2,0)</f>
        <v>CAA</v>
      </c>
      <c r="G250" s="5" t="str">
        <f t="shared" si="53"/>
        <v>C</v>
      </c>
      <c r="H250" s="5" t="str">
        <f t="shared" si="54"/>
        <v>A</v>
      </c>
      <c r="I250" s="5" t="str">
        <f t="shared" si="55"/>
        <v>A</v>
      </c>
      <c r="J250" s="5" t="str">
        <f t="shared" si="56"/>
        <v>CA</v>
      </c>
      <c r="K250" s="5" t="str">
        <f t="shared" si="57"/>
        <v>CA</v>
      </c>
      <c r="L250" s="5" t="str">
        <f t="shared" si="58"/>
        <v>AA</v>
      </c>
      <c r="M250">
        <v>23.36</v>
      </c>
      <c r="R250" s="4">
        <f>(M158-AVERAGE($M$3:$M$290))^2</f>
        <v>4.6642500976562982</v>
      </c>
      <c r="AI250"/>
    </row>
    <row r="251" spans="2:35" x14ac:dyDescent="0.25">
      <c r="B251" s="5">
        <v>11</v>
      </c>
      <c r="C251" s="5" t="s">
        <v>28</v>
      </c>
      <c r="D251" t="str">
        <f t="shared" si="52"/>
        <v>1109</v>
      </c>
      <c r="E251" s="5" t="s">
        <v>28</v>
      </c>
      <c r="F251" s="5" t="str">
        <f>VLOOKUP(E251,'Base Original'!$B$4:$C$16,2,0)</f>
        <v>CBB</v>
      </c>
      <c r="G251" s="5" t="str">
        <f t="shared" si="53"/>
        <v>C</v>
      </c>
      <c r="H251" s="5" t="str">
        <f t="shared" si="54"/>
        <v>B</v>
      </c>
      <c r="I251" s="5" t="str">
        <f t="shared" si="55"/>
        <v>B</v>
      </c>
      <c r="J251" s="5" t="str">
        <f t="shared" si="56"/>
        <v>CB</v>
      </c>
      <c r="K251" s="5" t="str">
        <f t="shared" si="57"/>
        <v>CB</v>
      </c>
      <c r="L251" s="5" t="str">
        <f t="shared" si="58"/>
        <v>BB</v>
      </c>
      <c r="M251">
        <v>24.03</v>
      </c>
      <c r="R251" s="4">
        <f>(M159-AVERAGE($M$3:$M$290))^2</f>
        <v>0.30215634765626281</v>
      </c>
      <c r="AI251"/>
    </row>
    <row r="252" spans="2:35" x14ac:dyDescent="0.25">
      <c r="B252" s="5">
        <v>11</v>
      </c>
      <c r="C252" s="5">
        <v>10</v>
      </c>
      <c r="D252" t="str">
        <f t="shared" si="52"/>
        <v>1110</v>
      </c>
      <c r="E252" s="5" t="s">
        <v>24</v>
      </c>
      <c r="F252" s="5" t="str">
        <f>VLOOKUP(E252,'Base Original'!$B$4:$C$16,2,0)</f>
        <v>BBA</v>
      </c>
      <c r="G252" s="5" t="str">
        <f t="shared" si="53"/>
        <v>B</v>
      </c>
      <c r="H252" s="5" t="str">
        <f t="shared" si="54"/>
        <v>B</v>
      </c>
      <c r="I252" s="5" t="str">
        <f t="shared" si="55"/>
        <v>A</v>
      </c>
      <c r="J252" s="5" t="str">
        <f t="shared" si="56"/>
        <v>BB</v>
      </c>
      <c r="K252" s="5" t="str">
        <f t="shared" si="57"/>
        <v>BA</v>
      </c>
      <c r="L252" s="5" t="str">
        <f t="shared" si="58"/>
        <v>BA</v>
      </c>
      <c r="M252">
        <v>25.14</v>
      </c>
      <c r="R252" s="4">
        <f>(M160-AVERAGE($M$3:$M$290))^2</f>
        <v>3.5625976562511535E-3</v>
      </c>
      <c r="AI252"/>
    </row>
    <row r="253" spans="2:35" x14ac:dyDescent="0.25">
      <c r="B253" s="5">
        <v>11</v>
      </c>
      <c r="C253" s="5">
        <v>11</v>
      </c>
      <c r="D253" t="str">
        <f t="shared" si="52"/>
        <v>1111</v>
      </c>
      <c r="E253" s="5" t="s">
        <v>26</v>
      </c>
      <c r="F253" s="5" t="str">
        <f>VLOOKUP(E253,'Base Original'!$B$4:$C$16,2,0)</f>
        <v>ABB</v>
      </c>
      <c r="G253" s="5" t="str">
        <f t="shared" si="53"/>
        <v>A</v>
      </c>
      <c r="H253" s="5" t="str">
        <f t="shared" si="54"/>
        <v>B</v>
      </c>
      <c r="I253" s="5" t="str">
        <f t="shared" si="55"/>
        <v>B</v>
      </c>
      <c r="J253" s="5" t="str">
        <f t="shared" si="56"/>
        <v>AB</v>
      </c>
      <c r="K253" s="5" t="str">
        <f t="shared" si="57"/>
        <v>AB</v>
      </c>
      <c r="L253" s="5" t="str">
        <f t="shared" si="58"/>
        <v>BB</v>
      </c>
      <c r="M253">
        <v>25.13</v>
      </c>
      <c r="R253" s="4">
        <f>(M161-AVERAGE($M$3:$M$290))^2</f>
        <v>0.94150634765622654</v>
      </c>
      <c r="AI253"/>
    </row>
    <row r="254" spans="2:35" x14ac:dyDescent="0.25">
      <c r="B254" s="5">
        <v>11</v>
      </c>
      <c r="C254" s="5">
        <v>12</v>
      </c>
      <c r="D254" t="str">
        <f t="shared" si="52"/>
        <v>1112</v>
      </c>
      <c r="E254" s="5" t="s">
        <v>25</v>
      </c>
      <c r="F254" s="5" t="str">
        <f>VLOOKUP(E254,'Base Original'!$B$4:$C$16,2,0)</f>
        <v>CBA</v>
      </c>
      <c r="G254" s="5" t="str">
        <f t="shared" si="53"/>
        <v>C</v>
      </c>
      <c r="H254" s="5" t="str">
        <f t="shared" si="54"/>
        <v>B</v>
      </c>
      <c r="I254" s="5" t="str">
        <f t="shared" si="55"/>
        <v>A</v>
      </c>
      <c r="J254" s="5" t="str">
        <f t="shared" si="56"/>
        <v>CB</v>
      </c>
      <c r="K254" s="5" t="str">
        <f t="shared" si="57"/>
        <v>CA</v>
      </c>
      <c r="L254" s="5" t="str">
        <f t="shared" si="58"/>
        <v>BA</v>
      </c>
      <c r="M254">
        <v>25.23</v>
      </c>
      <c r="R254" s="4">
        <f>(M162-AVERAGE($M$3:$M$290))^2</f>
        <v>0.44931884765623764</v>
      </c>
      <c r="AI254"/>
    </row>
    <row r="255" spans="2:35" x14ac:dyDescent="0.25">
      <c r="B255" s="5">
        <v>11</v>
      </c>
      <c r="C255" s="5" t="s">
        <v>20</v>
      </c>
      <c r="D255" t="str">
        <f t="shared" si="52"/>
        <v>1101</v>
      </c>
      <c r="E255" s="5">
        <v>12</v>
      </c>
      <c r="F255" s="5" t="str">
        <f>VLOOKUP(E255,'Base Original'!$B$4:$C$16,2,0)</f>
        <v>CAB</v>
      </c>
      <c r="G255" s="5" t="str">
        <f t="shared" si="53"/>
        <v>C</v>
      </c>
      <c r="H255" s="5" t="str">
        <f t="shared" si="54"/>
        <v>A</v>
      </c>
      <c r="I255" s="5" t="str">
        <f t="shared" si="55"/>
        <v>B</v>
      </c>
      <c r="J255" s="5" t="str">
        <f t="shared" si="56"/>
        <v>CA</v>
      </c>
      <c r="K255" s="5" t="str">
        <f t="shared" si="57"/>
        <v>CB</v>
      </c>
      <c r="L255" s="5" t="str">
        <f t="shared" si="58"/>
        <v>AB</v>
      </c>
      <c r="M255">
        <v>22.43</v>
      </c>
      <c r="R255" s="4">
        <f>(M163-AVERAGE($M$3:$M$290))^2</f>
        <v>6.2656347656244518E-2</v>
      </c>
      <c r="AI255"/>
    </row>
    <row r="256" spans="2:35" x14ac:dyDescent="0.25">
      <c r="B256" s="5">
        <v>11</v>
      </c>
      <c r="C256" s="5" t="s">
        <v>21</v>
      </c>
      <c r="D256" t="str">
        <f t="shared" si="52"/>
        <v>1102</v>
      </c>
      <c r="E256" s="5" t="s">
        <v>27</v>
      </c>
      <c r="F256" s="5" t="str">
        <f>VLOOKUP(E256,'Base Original'!$B$4:$C$16,2,0)</f>
        <v>BBB</v>
      </c>
      <c r="G256" s="5" t="str">
        <f t="shared" si="53"/>
        <v>B</v>
      </c>
      <c r="H256" s="5" t="str">
        <f t="shared" si="54"/>
        <v>B</v>
      </c>
      <c r="I256" s="5" t="str">
        <f t="shared" si="55"/>
        <v>B</v>
      </c>
      <c r="J256" s="5" t="str">
        <f t="shared" si="56"/>
        <v>BB</v>
      </c>
      <c r="K256" s="5" t="str">
        <f t="shared" si="57"/>
        <v>BB</v>
      </c>
      <c r="L256" s="5" t="str">
        <f t="shared" si="58"/>
        <v>BB</v>
      </c>
      <c r="M256">
        <v>24.2</v>
      </c>
      <c r="R256" s="4">
        <f>(M164-AVERAGE($M$3:$M$290))^2</f>
        <v>6.7437597656256495E-2</v>
      </c>
      <c r="AI256"/>
    </row>
    <row r="257" spans="2:35" x14ac:dyDescent="0.25">
      <c r="B257" s="5">
        <v>11</v>
      </c>
      <c r="C257" s="5" t="s">
        <v>22</v>
      </c>
      <c r="D257" t="str">
        <f t="shared" si="52"/>
        <v>1103</v>
      </c>
      <c r="E257" s="5" t="s">
        <v>23</v>
      </c>
      <c r="F257" s="5" t="str">
        <f>VLOOKUP(E257,'Base Original'!$B$4:$C$16,2,0)</f>
        <v>ABA</v>
      </c>
      <c r="G257" s="5" t="str">
        <f t="shared" si="53"/>
        <v>A</v>
      </c>
      <c r="H257" s="5" t="str">
        <f t="shared" si="54"/>
        <v>B</v>
      </c>
      <c r="I257" s="5" t="str">
        <f t="shared" si="55"/>
        <v>A</v>
      </c>
      <c r="J257" s="5" t="str">
        <f t="shared" si="56"/>
        <v>AB</v>
      </c>
      <c r="K257" s="5" t="str">
        <f t="shared" si="57"/>
        <v>AA</v>
      </c>
      <c r="L257" s="5" t="str">
        <f t="shared" si="58"/>
        <v>BA</v>
      </c>
      <c r="M257">
        <v>25.1</v>
      </c>
      <c r="R257" s="4">
        <f>(M165-AVERAGE($M$3:$M$290))^2</f>
        <v>0.5179500976562641</v>
      </c>
      <c r="AI257"/>
    </row>
    <row r="258" spans="2:35" x14ac:dyDescent="0.25">
      <c r="B258" s="5">
        <v>11</v>
      </c>
      <c r="C258" s="5" t="s">
        <v>23</v>
      </c>
      <c r="D258" t="str">
        <f t="shared" si="52"/>
        <v>1104</v>
      </c>
      <c r="E258" s="5">
        <v>10</v>
      </c>
      <c r="F258" s="5" t="str">
        <f>VLOOKUP(E258,'Base Original'!$B$4:$C$16,2,0)</f>
        <v>AAB</v>
      </c>
      <c r="G258" s="5" t="str">
        <f t="shared" si="53"/>
        <v>A</v>
      </c>
      <c r="H258" s="5" t="str">
        <f t="shared" si="54"/>
        <v>A</v>
      </c>
      <c r="I258" s="5" t="str">
        <f t="shared" si="55"/>
        <v>B</v>
      </c>
      <c r="J258" s="5" t="str">
        <f t="shared" si="56"/>
        <v>AA</v>
      </c>
      <c r="K258" s="5" t="str">
        <f t="shared" si="57"/>
        <v>AB</v>
      </c>
      <c r="L258" s="5" t="str">
        <f t="shared" si="58"/>
        <v>AB</v>
      </c>
      <c r="M258">
        <v>23.89</v>
      </c>
      <c r="R258" s="4">
        <f>(M166-AVERAGE($M$3:$M$290))^2</f>
        <v>3.6375976562485258E-3</v>
      </c>
      <c r="AI258"/>
    </row>
    <row r="259" spans="2:35" x14ac:dyDescent="0.25">
      <c r="B259" s="5">
        <v>11</v>
      </c>
      <c r="C259" s="5" t="s">
        <v>24</v>
      </c>
      <c r="D259" t="str">
        <f t="shared" si="52"/>
        <v>1105</v>
      </c>
      <c r="E259" s="5" t="s">
        <v>20</v>
      </c>
      <c r="F259" s="5" t="str">
        <f>VLOOKUP(E259,'Base Original'!$B$4:$C$16,2,0)</f>
        <v>AAA</v>
      </c>
      <c r="G259" s="5" t="str">
        <f t="shared" si="53"/>
        <v>A</v>
      </c>
      <c r="H259" s="5" t="str">
        <f t="shared" si="54"/>
        <v>A</v>
      </c>
      <c r="I259" s="5" t="str">
        <f t="shared" si="55"/>
        <v>A</v>
      </c>
      <c r="J259" s="5" t="str">
        <f t="shared" si="56"/>
        <v>AA</v>
      </c>
      <c r="K259" s="5" t="str">
        <f t="shared" si="57"/>
        <v>AA</v>
      </c>
      <c r="L259" s="5" t="str">
        <f t="shared" si="58"/>
        <v>AA</v>
      </c>
      <c r="M259">
        <v>25.19</v>
      </c>
      <c r="R259" s="4">
        <f>(M167-AVERAGE($M$3:$M$290))^2</f>
        <v>0.1523438476562419</v>
      </c>
      <c r="AI259"/>
    </row>
    <row r="260" spans="2:35" x14ac:dyDescent="0.25">
      <c r="B260" s="5">
        <v>11</v>
      </c>
      <c r="C260" s="5" t="s">
        <v>25</v>
      </c>
      <c r="D260" t="str">
        <f t="shared" ref="D260:D290" si="59">B260&amp;C260</f>
        <v>1106</v>
      </c>
      <c r="E260" s="5">
        <v>11</v>
      </c>
      <c r="F260" s="5" t="str">
        <f>VLOOKUP(E260,'Base Original'!$B$4:$C$16,2,0)</f>
        <v>BAB</v>
      </c>
      <c r="G260" s="5" t="str">
        <f t="shared" ref="G260:G290" si="60">LEFT(F260,1)</f>
        <v>B</v>
      </c>
      <c r="H260" s="5" t="str">
        <f t="shared" ref="H260:H290" si="61">MID(F260,2,1)</f>
        <v>A</v>
      </c>
      <c r="I260" s="5" t="str">
        <f t="shared" ref="I260:I290" si="62">RIGHT(F260,1)</f>
        <v>B</v>
      </c>
      <c r="J260" s="5" t="str">
        <f t="shared" ref="J260:J290" si="63">G260&amp;H260</f>
        <v>BA</v>
      </c>
      <c r="K260" s="5" t="str">
        <f t="shared" ref="K260:K290" si="64">G260&amp;I260</f>
        <v>BB</v>
      </c>
      <c r="L260" s="5" t="str">
        <f t="shared" ref="L260:L290" si="65">H260&amp;I260</f>
        <v>AB</v>
      </c>
      <c r="M260">
        <v>25.05</v>
      </c>
      <c r="R260" s="4">
        <f>(M168-AVERAGE($M$3:$M$290))^2</f>
        <v>0.68941884765622896</v>
      </c>
      <c r="AI260"/>
    </row>
    <row r="261" spans="2:35" x14ac:dyDescent="0.25">
      <c r="B261" s="5">
        <v>11</v>
      </c>
      <c r="C261" s="5" t="s">
        <v>26</v>
      </c>
      <c r="D261" t="str">
        <f t="shared" si="59"/>
        <v>1107</v>
      </c>
      <c r="E261" s="5" t="s">
        <v>21</v>
      </c>
      <c r="F261" s="5" t="str">
        <f>VLOOKUP(E261,'Base Original'!$B$4:$C$16,2,0)</f>
        <v>BAA</v>
      </c>
      <c r="G261" s="5" t="str">
        <f t="shared" si="60"/>
        <v>B</v>
      </c>
      <c r="H261" s="5" t="str">
        <f t="shared" si="61"/>
        <v>A</v>
      </c>
      <c r="I261" s="5" t="str">
        <f t="shared" si="62"/>
        <v>A</v>
      </c>
      <c r="J261" s="5" t="str">
        <f t="shared" si="63"/>
        <v>BA</v>
      </c>
      <c r="K261" s="5" t="str">
        <f t="shared" si="64"/>
        <v>BA</v>
      </c>
      <c r="L261" s="5" t="str">
        <f t="shared" si="65"/>
        <v>AA</v>
      </c>
      <c r="M261">
        <v>26.02</v>
      </c>
      <c r="R261" s="4">
        <f>(M169-AVERAGE($M$3:$M$290))^2</f>
        <v>1.3232188476562217</v>
      </c>
      <c r="AI261"/>
    </row>
    <row r="262" spans="2:35" x14ac:dyDescent="0.25">
      <c r="B262" s="5">
        <v>11</v>
      </c>
      <c r="C262" s="5" t="s">
        <v>27</v>
      </c>
      <c r="D262" t="str">
        <f t="shared" si="59"/>
        <v>1108</v>
      </c>
      <c r="E262" s="5" t="s">
        <v>22</v>
      </c>
      <c r="F262" s="5" t="str">
        <f>VLOOKUP(E262,'Base Original'!$B$4:$C$16,2,0)</f>
        <v>CAA</v>
      </c>
      <c r="G262" s="5" t="str">
        <f t="shared" si="60"/>
        <v>C</v>
      </c>
      <c r="H262" s="5" t="str">
        <f t="shared" si="61"/>
        <v>A</v>
      </c>
      <c r="I262" s="5" t="str">
        <f t="shared" si="62"/>
        <v>A</v>
      </c>
      <c r="J262" s="5" t="str">
        <f t="shared" si="63"/>
        <v>CA</v>
      </c>
      <c r="K262" s="5" t="str">
        <f t="shared" si="64"/>
        <v>CA</v>
      </c>
      <c r="L262" s="5" t="str">
        <f t="shared" si="65"/>
        <v>AA</v>
      </c>
      <c r="M262">
        <v>24.29</v>
      </c>
      <c r="R262" s="4">
        <f>(M170-AVERAGE($M$3:$M$290))^2</f>
        <v>0.14463759765624093</v>
      </c>
      <c r="AI262"/>
    </row>
    <row r="263" spans="2:35" x14ac:dyDescent="0.25">
      <c r="B263" s="5">
        <v>11</v>
      </c>
      <c r="C263" s="5" t="s">
        <v>28</v>
      </c>
      <c r="D263" t="str">
        <f t="shared" si="59"/>
        <v>1109</v>
      </c>
      <c r="E263" s="5" t="s">
        <v>28</v>
      </c>
      <c r="F263" s="5" t="str">
        <f>VLOOKUP(E263,'Base Original'!$B$4:$C$16,2,0)</f>
        <v>CBB</v>
      </c>
      <c r="G263" s="5" t="str">
        <f t="shared" si="60"/>
        <v>C</v>
      </c>
      <c r="H263" s="5" t="str">
        <f t="shared" si="61"/>
        <v>B</v>
      </c>
      <c r="I263" s="5" t="str">
        <f t="shared" si="62"/>
        <v>B</v>
      </c>
      <c r="J263" s="5" t="str">
        <f t="shared" si="63"/>
        <v>CB</v>
      </c>
      <c r="K263" s="5" t="str">
        <f t="shared" si="64"/>
        <v>CB</v>
      </c>
      <c r="L263" s="5" t="str">
        <f t="shared" si="65"/>
        <v>BB</v>
      </c>
      <c r="M263">
        <v>25.2</v>
      </c>
      <c r="R263" s="4">
        <f>(M171-AVERAGE($M$3:$M$290))^2</f>
        <v>3.621884765624632E-2</v>
      </c>
      <c r="AI263"/>
    </row>
    <row r="264" spans="2:35" x14ac:dyDescent="0.25">
      <c r="B264" s="5">
        <v>11</v>
      </c>
      <c r="C264" s="5">
        <v>10</v>
      </c>
      <c r="D264" t="str">
        <f t="shared" si="59"/>
        <v>1110</v>
      </c>
      <c r="E264" s="5" t="s">
        <v>24</v>
      </c>
      <c r="F264" s="5" t="str">
        <f>VLOOKUP(E264,'Base Original'!$B$4:$C$16,2,0)</f>
        <v>BBA</v>
      </c>
      <c r="G264" s="5" t="str">
        <f t="shared" si="60"/>
        <v>B</v>
      </c>
      <c r="H264" s="5" t="str">
        <f t="shared" si="61"/>
        <v>B</v>
      </c>
      <c r="I264" s="5" t="str">
        <f t="shared" si="62"/>
        <v>A</v>
      </c>
      <c r="J264" s="5" t="str">
        <f t="shared" si="63"/>
        <v>BB</v>
      </c>
      <c r="K264" s="5" t="str">
        <f t="shared" si="64"/>
        <v>BA</v>
      </c>
      <c r="L264" s="5" t="str">
        <f t="shared" si="65"/>
        <v>BA</v>
      </c>
      <c r="M264">
        <v>24.53</v>
      </c>
      <c r="R264" s="4">
        <f>(M172-AVERAGE($M$3:$M$290))^2</f>
        <v>2.657918847656211</v>
      </c>
      <c r="AI264"/>
    </row>
    <row r="265" spans="2:35" x14ac:dyDescent="0.25">
      <c r="B265" s="5">
        <v>11</v>
      </c>
      <c r="C265" s="5">
        <v>11</v>
      </c>
      <c r="D265" t="str">
        <f t="shared" si="59"/>
        <v>1111</v>
      </c>
      <c r="E265" s="5" t="s">
        <v>26</v>
      </c>
      <c r="F265" s="5" t="str">
        <f>VLOOKUP(E265,'Base Original'!$B$4:$C$16,2,0)</f>
        <v>ABB</v>
      </c>
      <c r="G265" s="5" t="str">
        <f t="shared" si="60"/>
        <v>A</v>
      </c>
      <c r="H265" s="5" t="str">
        <f t="shared" si="61"/>
        <v>B</v>
      </c>
      <c r="I265" s="5" t="str">
        <f t="shared" si="62"/>
        <v>B</v>
      </c>
      <c r="J265" s="5" t="str">
        <f t="shared" si="63"/>
        <v>AB</v>
      </c>
      <c r="K265" s="5" t="str">
        <f t="shared" si="64"/>
        <v>AB</v>
      </c>
      <c r="L265" s="5" t="str">
        <f t="shared" si="65"/>
        <v>BB</v>
      </c>
      <c r="M265">
        <v>24.63</v>
      </c>
      <c r="R265" s="4">
        <f>(M173-AVERAGE($M$3:$M$290))^2</f>
        <v>1.020731347656231</v>
      </c>
      <c r="AI265"/>
    </row>
    <row r="266" spans="2:35" x14ac:dyDescent="0.25">
      <c r="B266" s="5">
        <v>11</v>
      </c>
      <c r="C266" s="5">
        <v>12</v>
      </c>
      <c r="D266" t="str">
        <f t="shared" si="59"/>
        <v>1112</v>
      </c>
      <c r="E266" s="5" t="s">
        <v>25</v>
      </c>
      <c r="F266" s="5" t="str">
        <f>VLOOKUP(E266,'Base Original'!$B$4:$C$16,2,0)</f>
        <v>CBA</v>
      </c>
      <c r="G266" s="5" t="str">
        <f t="shared" si="60"/>
        <v>C</v>
      </c>
      <c r="H266" s="5" t="str">
        <f t="shared" si="61"/>
        <v>B</v>
      </c>
      <c r="I266" s="5" t="str">
        <f t="shared" si="62"/>
        <v>A</v>
      </c>
      <c r="J266" s="5" t="str">
        <f t="shared" si="63"/>
        <v>CB</v>
      </c>
      <c r="K266" s="5" t="str">
        <f t="shared" si="64"/>
        <v>CA</v>
      </c>
      <c r="L266" s="5" t="str">
        <f t="shared" si="65"/>
        <v>BA</v>
      </c>
      <c r="M266">
        <v>25.32</v>
      </c>
      <c r="R266" s="4">
        <f>(M174-AVERAGE($M$3:$M$290))^2</f>
        <v>7.3068847656243857E-2</v>
      </c>
      <c r="AI266"/>
    </row>
    <row r="267" spans="2:35" x14ac:dyDescent="0.25">
      <c r="B267" s="5">
        <v>12</v>
      </c>
      <c r="C267" s="5" t="s">
        <v>20</v>
      </c>
      <c r="D267" t="str">
        <f t="shared" si="59"/>
        <v>1201</v>
      </c>
      <c r="E267" s="5">
        <v>11</v>
      </c>
      <c r="F267" s="5" t="str">
        <f>VLOOKUP(E267,'Base Original'!$B$4:$C$16,2,0)</f>
        <v>BAB</v>
      </c>
      <c r="G267" s="5" t="str">
        <f t="shared" si="60"/>
        <v>B</v>
      </c>
      <c r="H267" s="5" t="str">
        <f t="shared" si="61"/>
        <v>A</v>
      </c>
      <c r="I267" s="5" t="str">
        <f t="shared" si="62"/>
        <v>B</v>
      </c>
      <c r="J267" s="5" t="str">
        <f t="shared" si="63"/>
        <v>BA</v>
      </c>
      <c r="K267" s="5" t="str">
        <f t="shared" si="64"/>
        <v>BB</v>
      </c>
      <c r="L267" s="5" t="str">
        <f t="shared" si="65"/>
        <v>AB</v>
      </c>
      <c r="M267">
        <v>22.5</v>
      </c>
      <c r="R267" s="4">
        <f>(M175-AVERAGE($M$3:$M$290))^2</f>
        <v>1.7415750976562796</v>
      </c>
      <c r="AI267"/>
    </row>
    <row r="268" spans="2:35" x14ac:dyDescent="0.25">
      <c r="B268" s="5">
        <v>12</v>
      </c>
      <c r="C268" s="5" t="s">
        <v>21</v>
      </c>
      <c r="D268" t="str">
        <f t="shared" si="59"/>
        <v>1202</v>
      </c>
      <c r="E268" s="5" t="s">
        <v>20</v>
      </c>
      <c r="F268" s="5" t="str">
        <f>VLOOKUP(E268,'Base Original'!$B$4:$C$16,2,0)</f>
        <v>AAA</v>
      </c>
      <c r="G268" s="5" t="str">
        <f t="shared" si="60"/>
        <v>A</v>
      </c>
      <c r="H268" s="5" t="str">
        <f t="shared" si="61"/>
        <v>A</v>
      </c>
      <c r="I268" s="5" t="str">
        <f t="shared" si="62"/>
        <v>A</v>
      </c>
      <c r="J268" s="5" t="str">
        <f t="shared" si="63"/>
        <v>AA</v>
      </c>
      <c r="K268" s="5" t="str">
        <f t="shared" si="64"/>
        <v>AA</v>
      </c>
      <c r="L268" s="5" t="str">
        <f t="shared" si="65"/>
        <v>AA</v>
      </c>
      <c r="M268">
        <v>23.18</v>
      </c>
      <c r="R268" s="4">
        <f>(M176-AVERAGE($M$3:$M$290))^2</f>
        <v>0.16835634765624113</v>
      </c>
      <c r="AI268"/>
    </row>
    <row r="269" spans="2:35" x14ac:dyDescent="0.25">
      <c r="B269" s="5">
        <v>12</v>
      </c>
      <c r="C269" s="5" t="s">
        <v>22</v>
      </c>
      <c r="D269" t="str">
        <f t="shared" si="59"/>
        <v>1203</v>
      </c>
      <c r="E269" s="5" t="s">
        <v>24</v>
      </c>
      <c r="F269" s="5" t="str">
        <f>VLOOKUP(E269,'Base Original'!$B$4:$C$16,2,0)</f>
        <v>BBA</v>
      </c>
      <c r="G269" s="5" t="str">
        <f t="shared" si="60"/>
        <v>B</v>
      </c>
      <c r="H269" s="5" t="str">
        <f t="shared" si="61"/>
        <v>B</v>
      </c>
      <c r="I269" s="5" t="str">
        <f t="shared" si="62"/>
        <v>A</v>
      </c>
      <c r="J269" s="5" t="str">
        <f t="shared" si="63"/>
        <v>BB</v>
      </c>
      <c r="K269" s="5" t="str">
        <f t="shared" si="64"/>
        <v>BA</v>
      </c>
      <c r="L269" s="5" t="str">
        <f t="shared" si="65"/>
        <v>BA</v>
      </c>
      <c r="M269">
        <v>23.07</v>
      </c>
      <c r="R269" s="4">
        <f>(M177-AVERAGE($M$3:$M$290))^2</f>
        <v>2.1618188476562143</v>
      </c>
      <c r="AI269"/>
    </row>
    <row r="270" spans="2:35" x14ac:dyDescent="0.25">
      <c r="B270" s="5">
        <v>12</v>
      </c>
      <c r="C270" s="5" t="s">
        <v>23</v>
      </c>
      <c r="D270" t="str">
        <f t="shared" si="59"/>
        <v>1204</v>
      </c>
      <c r="E270" s="5" t="s">
        <v>25</v>
      </c>
      <c r="F270" s="5" t="str">
        <f>VLOOKUP(E270,'Base Original'!$B$4:$C$16,2,0)</f>
        <v>CBA</v>
      </c>
      <c r="G270" s="5" t="str">
        <f t="shared" si="60"/>
        <v>C</v>
      </c>
      <c r="H270" s="5" t="str">
        <f t="shared" si="61"/>
        <v>B</v>
      </c>
      <c r="I270" s="5" t="str">
        <f t="shared" si="62"/>
        <v>A</v>
      </c>
      <c r="J270" s="5" t="str">
        <f t="shared" si="63"/>
        <v>CB</v>
      </c>
      <c r="K270" s="5" t="str">
        <f t="shared" si="64"/>
        <v>CA</v>
      </c>
      <c r="L270" s="5" t="str">
        <f t="shared" si="65"/>
        <v>BA</v>
      </c>
      <c r="M270">
        <v>24.97</v>
      </c>
      <c r="R270" s="4">
        <f>(M178-AVERAGE($M$3:$M$290))^2</f>
        <v>1.2988875976562761</v>
      </c>
      <c r="AI270"/>
    </row>
    <row r="271" spans="2:35" x14ac:dyDescent="0.25">
      <c r="B271" s="5">
        <v>12</v>
      </c>
      <c r="C271" s="5" t="s">
        <v>24</v>
      </c>
      <c r="D271" t="str">
        <f t="shared" si="59"/>
        <v>1205</v>
      </c>
      <c r="E271" s="5">
        <v>12</v>
      </c>
      <c r="F271" s="5" t="str">
        <f>VLOOKUP(E271,'Base Original'!$B$4:$C$16,2,0)</f>
        <v>CAB</v>
      </c>
      <c r="G271" s="5" t="str">
        <f t="shared" si="60"/>
        <v>C</v>
      </c>
      <c r="H271" s="5" t="str">
        <f t="shared" si="61"/>
        <v>A</v>
      </c>
      <c r="I271" s="5" t="str">
        <f t="shared" si="62"/>
        <v>B</v>
      </c>
      <c r="J271" s="5" t="str">
        <f t="shared" si="63"/>
        <v>CA</v>
      </c>
      <c r="K271" s="5" t="str">
        <f t="shared" si="64"/>
        <v>CB</v>
      </c>
      <c r="L271" s="5" t="str">
        <f t="shared" si="65"/>
        <v>AB</v>
      </c>
      <c r="M271">
        <v>22.55</v>
      </c>
      <c r="R271" s="4">
        <f>(M179-AVERAGE($M$3:$M$290))^2</f>
        <v>9.937597656252465E-3</v>
      </c>
      <c r="AI271"/>
    </row>
    <row r="272" spans="2:35" x14ac:dyDescent="0.25">
      <c r="B272" s="5">
        <v>12</v>
      </c>
      <c r="C272" s="5" t="s">
        <v>25</v>
      </c>
      <c r="D272" t="str">
        <f t="shared" si="59"/>
        <v>1206</v>
      </c>
      <c r="E272" s="5" t="s">
        <v>28</v>
      </c>
      <c r="F272" s="5" t="str">
        <f>VLOOKUP(E272,'Base Original'!$B$4:$C$16,2,0)</f>
        <v>CBB</v>
      </c>
      <c r="G272" s="5" t="str">
        <f t="shared" si="60"/>
        <v>C</v>
      </c>
      <c r="H272" s="5" t="str">
        <f t="shared" si="61"/>
        <v>B</v>
      </c>
      <c r="I272" s="5" t="str">
        <f t="shared" si="62"/>
        <v>B</v>
      </c>
      <c r="J272" s="5" t="str">
        <f t="shared" si="63"/>
        <v>CB</v>
      </c>
      <c r="K272" s="5" t="str">
        <f t="shared" si="64"/>
        <v>CB</v>
      </c>
      <c r="L272" s="5" t="str">
        <f t="shared" si="65"/>
        <v>BB</v>
      </c>
      <c r="M272">
        <v>23.78</v>
      </c>
      <c r="R272" s="4">
        <f>(M180-AVERAGE($M$3:$M$290))^2</f>
        <v>1.5617188476562773</v>
      </c>
      <c r="AI272"/>
    </row>
    <row r="273" spans="2:35" x14ac:dyDescent="0.25">
      <c r="B273" s="5">
        <v>12</v>
      </c>
      <c r="C273" s="5" t="s">
        <v>26</v>
      </c>
      <c r="D273" t="str">
        <f t="shared" si="59"/>
        <v>1207</v>
      </c>
      <c r="E273" s="5" t="s">
        <v>26</v>
      </c>
      <c r="F273" s="5" t="str">
        <f>VLOOKUP(E273,'Base Original'!$B$4:$C$16,2,0)</f>
        <v>ABB</v>
      </c>
      <c r="G273" s="5" t="str">
        <f t="shared" si="60"/>
        <v>A</v>
      </c>
      <c r="H273" s="5" t="str">
        <f t="shared" si="61"/>
        <v>B</v>
      </c>
      <c r="I273" s="5" t="str">
        <f t="shared" si="62"/>
        <v>B</v>
      </c>
      <c r="J273" s="5" t="str">
        <f t="shared" si="63"/>
        <v>AB</v>
      </c>
      <c r="K273" s="5" t="str">
        <f t="shared" si="64"/>
        <v>AB</v>
      </c>
      <c r="L273" s="5" t="str">
        <f t="shared" si="65"/>
        <v>BB</v>
      </c>
      <c r="M273">
        <v>25.12</v>
      </c>
      <c r="R273" s="4">
        <f>(M181-AVERAGE($M$3:$M$290))^2</f>
        <v>2.5313476562489703E-3</v>
      </c>
      <c r="AI273"/>
    </row>
    <row r="274" spans="2:35" x14ac:dyDescent="0.25">
      <c r="B274" s="5">
        <v>12</v>
      </c>
      <c r="C274" s="5" t="s">
        <v>27</v>
      </c>
      <c r="D274" t="str">
        <f t="shared" si="59"/>
        <v>1208</v>
      </c>
      <c r="E274" s="5" t="s">
        <v>27</v>
      </c>
      <c r="F274" s="5" t="str">
        <f>VLOOKUP(E274,'Base Original'!$B$4:$C$16,2,0)</f>
        <v>BBB</v>
      </c>
      <c r="G274" s="5" t="str">
        <f t="shared" si="60"/>
        <v>B</v>
      </c>
      <c r="H274" s="5" t="str">
        <f t="shared" si="61"/>
        <v>B</v>
      </c>
      <c r="I274" s="5" t="str">
        <f t="shared" si="62"/>
        <v>B</v>
      </c>
      <c r="J274" s="5" t="str">
        <f t="shared" si="63"/>
        <v>BB</v>
      </c>
      <c r="K274" s="5" t="str">
        <f t="shared" si="64"/>
        <v>BB</v>
      </c>
      <c r="L274" s="5" t="str">
        <f t="shared" si="65"/>
        <v>BB</v>
      </c>
      <c r="M274">
        <v>22.73</v>
      </c>
      <c r="R274" s="4">
        <f>(M182-AVERAGE($M$3:$M$290))^2</f>
        <v>0.73906259765626781</v>
      </c>
      <c r="AI274"/>
    </row>
    <row r="275" spans="2:35" x14ac:dyDescent="0.25">
      <c r="B275" s="5">
        <v>12</v>
      </c>
      <c r="C275" s="5" t="s">
        <v>28</v>
      </c>
      <c r="D275" t="str">
        <f t="shared" si="59"/>
        <v>1209</v>
      </c>
      <c r="E275" s="5" t="s">
        <v>21</v>
      </c>
      <c r="F275" s="5" t="str">
        <f>VLOOKUP(E275,'Base Original'!$B$4:$C$16,2,0)</f>
        <v>BAA</v>
      </c>
      <c r="G275" s="5" t="str">
        <f t="shared" si="60"/>
        <v>B</v>
      </c>
      <c r="H275" s="5" t="str">
        <f t="shared" si="61"/>
        <v>A</v>
      </c>
      <c r="I275" s="5" t="str">
        <f t="shared" si="62"/>
        <v>A</v>
      </c>
      <c r="J275" s="5" t="str">
        <f t="shared" si="63"/>
        <v>BA</v>
      </c>
      <c r="K275" s="5" t="str">
        <f t="shared" si="64"/>
        <v>BA</v>
      </c>
      <c r="L275" s="5" t="str">
        <f t="shared" si="65"/>
        <v>AA</v>
      </c>
      <c r="M275">
        <v>25.01</v>
      </c>
      <c r="R275" s="4">
        <f>(M183-AVERAGE($M$3:$M$290))^2</f>
        <v>2.7899438476562191</v>
      </c>
      <c r="AI275"/>
    </row>
    <row r="276" spans="2:35" x14ac:dyDescent="0.25">
      <c r="B276" s="5">
        <v>12</v>
      </c>
      <c r="C276" s="5">
        <v>10</v>
      </c>
      <c r="D276" t="str">
        <f t="shared" si="59"/>
        <v>1210</v>
      </c>
      <c r="E276" s="5">
        <v>10</v>
      </c>
      <c r="F276" s="5" t="str">
        <f>VLOOKUP(E276,'Base Original'!$B$4:$C$16,2,0)</f>
        <v>AAB</v>
      </c>
      <c r="G276" s="5" t="str">
        <f t="shared" si="60"/>
        <v>A</v>
      </c>
      <c r="H276" s="5" t="str">
        <f t="shared" si="61"/>
        <v>A</v>
      </c>
      <c r="I276" s="5" t="str">
        <f t="shared" si="62"/>
        <v>B</v>
      </c>
      <c r="J276" s="5" t="str">
        <f t="shared" si="63"/>
        <v>AA</v>
      </c>
      <c r="K276" s="5" t="str">
        <f t="shared" si="64"/>
        <v>AB</v>
      </c>
      <c r="L276" s="5" t="str">
        <f t="shared" si="65"/>
        <v>AB</v>
      </c>
      <c r="M276">
        <v>24.7</v>
      </c>
      <c r="R276" s="4">
        <f>(M184-AVERAGE($M$3:$M$290))^2</f>
        <v>1.3916625976562751</v>
      </c>
      <c r="AI276"/>
    </row>
    <row r="277" spans="2:35" x14ac:dyDescent="0.25">
      <c r="B277" s="5">
        <v>12</v>
      </c>
      <c r="C277" s="5">
        <v>11</v>
      </c>
      <c r="D277" t="str">
        <f t="shared" si="59"/>
        <v>1211</v>
      </c>
      <c r="E277" s="5" t="s">
        <v>23</v>
      </c>
      <c r="F277" s="5" t="str">
        <f>VLOOKUP(E277,'Base Original'!$B$4:$C$16,2,0)</f>
        <v>ABA</v>
      </c>
      <c r="G277" s="5" t="str">
        <f t="shared" si="60"/>
        <v>A</v>
      </c>
      <c r="H277" s="5" t="str">
        <f t="shared" si="61"/>
        <v>B</v>
      </c>
      <c r="I277" s="5" t="str">
        <f t="shared" si="62"/>
        <v>A</v>
      </c>
      <c r="J277" s="5" t="str">
        <f t="shared" si="63"/>
        <v>AB</v>
      </c>
      <c r="K277" s="5" t="str">
        <f t="shared" si="64"/>
        <v>AA</v>
      </c>
      <c r="L277" s="5" t="str">
        <f t="shared" si="65"/>
        <v>BA</v>
      </c>
      <c r="M277">
        <v>25.78</v>
      </c>
      <c r="R277" s="4">
        <f>(M185-AVERAGE($M$3:$M$290))^2</f>
        <v>1.1874188476562735</v>
      </c>
      <c r="AI277"/>
    </row>
    <row r="278" spans="2:35" x14ac:dyDescent="0.25">
      <c r="B278" s="5">
        <v>12</v>
      </c>
      <c r="C278" s="5">
        <v>12</v>
      </c>
      <c r="D278" t="str">
        <f t="shared" si="59"/>
        <v>1212</v>
      </c>
      <c r="E278" s="5" t="s">
        <v>22</v>
      </c>
      <c r="F278" s="5" t="str">
        <f>VLOOKUP(E278,'Base Original'!$B$4:$C$16,2,0)</f>
        <v>CAA</v>
      </c>
      <c r="G278" s="5" t="str">
        <f t="shared" si="60"/>
        <v>C</v>
      </c>
      <c r="H278" s="5" t="str">
        <f t="shared" si="61"/>
        <v>A</v>
      </c>
      <c r="I278" s="5" t="str">
        <f t="shared" si="62"/>
        <v>A</v>
      </c>
      <c r="J278" s="5" t="str">
        <f t="shared" si="63"/>
        <v>CA</v>
      </c>
      <c r="K278" s="5" t="str">
        <f t="shared" si="64"/>
        <v>CA</v>
      </c>
      <c r="L278" s="5" t="str">
        <f t="shared" si="65"/>
        <v>AA</v>
      </c>
      <c r="M278">
        <v>22.8</v>
      </c>
      <c r="R278" s="4">
        <f>(M186-AVERAGE($M$3:$M$290))^2</f>
        <v>0.43518759765626464</v>
      </c>
      <c r="AI278"/>
    </row>
    <row r="279" spans="2:35" x14ac:dyDescent="0.25">
      <c r="B279" s="5">
        <v>12</v>
      </c>
      <c r="C279" s="5" t="s">
        <v>20</v>
      </c>
      <c r="D279" t="str">
        <f t="shared" si="59"/>
        <v>1201</v>
      </c>
      <c r="E279" s="5">
        <v>11</v>
      </c>
      <c r="F279" s="5" t="str">
        <f>VLOOKUP(E279,'Base Original'!$B$4:$C$16,2,0)</f>
        <v>BAB</v>
      </c>
      <c r="G279" s="5" t="str">
        <f t="shared" si="60"/>
        <v>B</v>
      </c>
      <c r="H279" s="5" t="str">
        <f t="shared" si="61"/>
        <v>A</v>
      </c>
      <c r="I279" s="5" t="str">
        <f t="shared" si="62"/>
        <v>B</v>
      </c>
      <c r="J279" s="5" t="str">
        <f t="shared" si="63"/>
        <v>BA</v>
      </c>
      <c r="K279" s="5" t="str">
        <f t="shared" si="64"/>
        <v>BB</v>
      </c>
      <c r="L279" s="5" t="str">
        <f t="shared" si="65"/>
        <v>AB</v>
      </c>
      <c r="M279">
        <v>24.27</v>
      </c>
      <c r="R279" s="4">
        <f>(M187-AVERAGE($M$3:$M$290))^2</f>
        <v>2.4688476562511582E-3</v>
      </c>
      <c r="AI279"/>
    </row>
    <row r="280" spans="2:35" x14ac:dyDescent="0.25">
      <c r="B280" s="5">
        <v>12</v>
      </c>
      <c r="C280" s="5" t="s">
        <v>21</v>
      </c>
      <c r="D280" t="str">
        <f t="shared" si="59"/>
        <v>1202</v>
      </c>
      <c r="E280" s="5" t="s">
        <v>20</v>
      </c>
      <c r="F280" s="5" t="str">
        <f>VLOOKUP(E280,'Base Original'!$B$4:$C$16,2,0)</f>
        <v>AAA</v>
      </c>
      <c r="G280" s="5" t="str">
        <f t="shared" si="60"/>
        <v>A</v>
      </c>
      <c r="H280" s="5" t="str">
        <f t="shared" si="61"/>
        <v>A</v>
      </c>
      <c r="I280" s="5" t="str">
        <f t="shared" si="62"/>
        <v>A</v>
      </c>
      <c r="J280" s="5" t="str">
        <f t="shared" si="63"/>
        <v>AA</v>
      </c>
      <c r="K280" s="5" t="str">
        <f t="shared" si="64"/>
        <v>AA</v>
      </c>
      <c r="L280" s="5" t="str">
        <f t="shared" si="65"/>
        <v>AA</v>
      </c>
      <c r="M280">
        <v>24.07</v>
      </c>
      <c r="R280" s="4">
        <f>(M188-AVERAGE($M$3:$M$290))^2</f>
        <v>0.1602500976562401</v>
      </c>
      <c r="AI280"/>
    </row>
    <row r="281" spans="2:35" x14ac:dyDescent="0.25">
      <c r="B281" s="5">
        <v>12</v>
      </c>
      <c r="C281" s="5" t="s">
        <v>22</v>
      </c>
      <c r="D281" t="str">
        <f t="shared" si="59"/>
        <v>1203</v>
      </c>
      <c r="E281" s="5" t="s">
        <v>24</v>
      </c>
      <c r="F281" s="5" t="str">
        <f>VLOOKUP(E281,'Base Original'!$B$4:$C$16,2,0)</f>
        <v>BBA</v>
      </c>
      <c r="G281" s="5" t="str">
        <f t="shared" si="60"/>
        <v>B</v>
      </c>
      <c r="H281" s="5" t="str">
        <f t="shared" si="61"/>
        <v>B</v>
      </c>
      <c r="I281" s="5" t="str">
        <f t="shared" si="62"/>
        <v>A</v>
      </c>
      <c r="J281" s="5" t="str">
        <f t="shared" si="63"/>
        <v>BB</v>
      </c>
      <c r="K281" s="5" t="str">
        <f t="shared" si="64"/>
        <v>BA</v>
      </c>
      <c r="L281" s="5" t="str">
        <f t="shared" si="65"/>
        <v>BA</v>
      </c>
      <c r="M281">
        <v>23.18</v>
      </c>
      <c r="R281" s="4">
        <f>(M189-AVERAGE($M$3:$M$290))^2</f>
        <v>0.27072509765623815</v>
      </c>
      <c r="AI281"/>
    </row>
    <row r="282" spans="2:35" x14ac:dyDescent="0.25">
      <c r="B282" s="5">
        <v>12</v>
      </c>
      <c r="C282" s="5" t="s">
        <v>23</v>
      </c>
      <c r="D282" t="str">
        <f t="shared" si="59"/>
        <v>1204</v>
      </c>
      <c r="E282" s="5" t="s">
        <v>25</v>
      </c>
      <c r="F282" s="5" t="str">
        <f>VLOOKUP(E282,'Base Original'!$B$4:$C$16,2,0)</f>
        <v>CBA</v>
      </c>
      <c r="G282" s="5" t="str">
        <f t="shared" si="60"/>
        <v>C</v>
      </c>
      <c r="H282" s="5" t="str">
        <f t="shared" si="61"/>
        <v>B</v>
      </c>
      <c r="I282" s="5" t="str">
        <f t="shared" si="62"/>
        <v>A</v>
      </c>
      <c r="J282" s="5" t="str">
        <f t="shared" si="63"/>
        <v>CB</v>
      </c>
      <c r="K282" s="5" t="str">
        <f t="shared" si="64"/>
        <v>CA</v>
      </c>
      <c r="L282" s="5" t="str">
        <f t="shared" si="65"/>
        <v>BA</v>
      </c>
      <c r="M282">
        <v>22.58</v>
      </c>
      <c r="R282" s="4">
        <f>(M190-AVERAGE($M$3:$M$290))^2</f>
        <v>0.49043759765623368</v>
      </c>
      <c r="AI282"/>
    </row>
    <row r="283" spans="2:35" x14ac:dyDescent="0.25">
      <c r="B283" s="5">
        <v>12</v>
      </c>
      <c r="C283" s="5" t="s">
        <v>24</v>
      </c>
      <c r="D283" t="str">
        <f t="shared" si="59"/>
        <v>1205</v>
      </c>
      <c r="E283" s="5">
        <v>12</v>
      </c>
      <c r="F283" s="5" t="str">
        <f>VLOOKUP(E283,'Base Original'!$B$4:$C$16,2,0)</f>
        <v>CAB</v>
      </c>
      <c r="G283" s="5" t="str">
        <f t="shared" si="60"/>
        <v>C</v>
      </c>
      <c r="H283" s="5" t="str">
        <f t="shared" si="61"/>
        <v>A</v>
      </c>
      <c r="I283" s="5" t="str">
        <f t="shared" si="62"/>
        <v>B</v>
      </c>
      <c r="J283" s="5" t="str">
        <f t="shared" si="63"/>
        <v>CA</v>
      </c>
      <c r="K283" s="5" t="str">
        <f t="shared" si="64"/>
        <v>CB</v>
      </c>
      <c r="L283" s="5" t="str">
        <f t="shared" si="65"/>
        <v>AB</v>
      </c>
      <c r="M283">
        <v>22.87</v>
      </c>
      <c r="R283" s="4">
        <f>(M191-AVERAGE($M$3:$M$290))^2</f>
        <v>2.2593847656246283E-2</v>
      </c>
      <c r="AI283"/>
    </row>
    <row r="284" spans="2:35" x14ac:dyDescent="0.25">
      <c r="B284" s="5">
        <v>12</v>
      </c>
      <c r="C284" s="5" t="s">
        <v>25</v>
      </c>
      <c r="D284" t="str">
        <f t="shared" si="59"/>
        <v>1206</v>
      </c>
      <c r="E284" s="5" t="s">
        <v>28</v>
      </c>
      <c r="F284" s="5" t="str">
        <f>VLOOKUP(E284,'Base Original'!$B$4:$C$16,2,0)</f>
        <v>CBB</v>
      </c>
      <c r="G284" s="5" t="str">
        <f t="shared" si="60"/>
        <v>C</v>
      </c>
      <c r="H284" s="5" t="str">
        <f t="shared" si="61"/>
        <v>B</v>
      </c>
      <c r="I284" s="5" t="str">
        <f t="shared" si="62"/>
        <v>B</v>
      </c>
      <c r="J284" s="5" t="str">
        <f t="shared" si="63"/>
        <v>CB</v>
      </c>
      <c r="K284" s="5" t="str">
        <f t="shared" si="64"/>
        <v>CB</v>
      </c>
      <c r="L284" s="5" t="str">
        <f t="shared" si="65"/>
        <v>BB</v>
      </c>
      <c r="M284">
        <v>24.77</v>
      </c>
      <c r="R284" s="4">
        <f>(M192-AVERAGE($M$3:$M$290))^2</f>
        <v>0.90190634765626942</v>
      </c>
      <c r="AI284"/>
    </row>
    <row r="285" spans="2:35" x14ac:dyDescent="0.25">
      <c r="B285" s="5">
        <v>12</v>
      </c>
      <c r="C285" s="5" t="s">
        <v>26</v>
      </c>
      <c r="D285" t="str">
        <f t="shared" si="59"/>
        <v>1207</v>
      </c>
      <c r="E285" s="5" t="s">
        <v>26</v>
      </c>
      <c r="F285" s="5" t="str">
        <f>VLOOKUP(E285,'Base Original'!$B$4:$C$16,2,0)</f>
        <v>ABB</v>
      </c>
      <c r="G285" s="5" t="str">
        <f t="shared" si="60"/>
        <v>A</v>
      </c>
      <c r="H285" s="5" t="str">
        <f t="shared" si="61"/>
        <v>B</v>
      </c>
      <c r="I285" s="5" t="str">
        <f t="shared" si="62"/>
        <v>B</v>
      </c>
      <c r="J285" s="5" t="str">
        <f t="shared" si="63"/>
        <v>AB</v>
      </c>
      <c r="K285" s="5" t="str">
        <f t="shared" si="64"/>
        <v>AB</v>
      </c>
      <c r="L285" s="5" t="str">
        <f t="shared" si="65"/>
        <v>BB</v>
      </c>
      <c r="M285">
        <v>23.96</v>
      </c>
      <c r="R285" s="4">
        <f>(M193-AVERAGE($M$3:$M$290))^2</f>
        <v>0.88301259765627294</v>
      </c>
      <c r="AI285"/>
    </row>
    <row r="286" spans="2:35" x14ac:dyDescent="0.25">
      <c r="B286" s="5">
        <v>12</v>
      </c>
      <c r="C286" s="5" t="s">
        <v>27</v>
      </c>
      <c r="D286" t="str">
        <f t="shared" si="59"/>
        <v>1208</v>
      </c>
      <c r="E286" s="5" t="s">
        <v>27</v>
      </c>
      <c r="F286" s="5" t="str">
        <f>VLOOKUP(E286,'Base Original'!$B$4:$C$16,2,0)</f>
        <v>BBB</v>
      </c>
      <c r="G286" s="5" t="str">
        <f t="shared" si="60"/>
        <v>B</v>
      </c>
      <c r="H286" s="5" t="str">
        <f t="shared" si="61"/>
        <v>B</v>
      </c>
      <c r="I286" s="5" t="str">
        <f t="shared" si="62"/>
        <v>B</v>
      </c>
      <c r="J286" s="5" t="str">
        <f t="shared" si="63"/>
        <v>BB</v>
      </c>
      <c r="K286" s="5" t="str">
        <f t="shared" si="64"/>
        <v>BB</v>
      </c>
      <c r="L286" s="5" t="str">
        <f t="shared" si="65"/>
        <v>BB</v>
      </c>
      <c r="M286">
        <v>22.12</v>
      </c>
      <c r="R286" s="4">
        <f>(M194-AVERAGE($M$3:$M$290))^2</f>
        <v>5.2756347656255226E-2</v>
      </c>
      <c r="AI286"/>
    </row>
    <row r="287" spans="2:35" x14ac:dyDescent="0.25">
      <c r="B287" s="5">
        <v>12</v>
      </c>
      <c r="C287" s="5" t="s">
        <v>28</v>
      </c>
      <c r="D287" t="str">
        <f t="shared" si="59"/>
        <v>1209</v>
      </c>
      <c r="E287" s="5" t="s">
        <v>21</v>
      </c>
      <c r="F287" s="5" t="str">
        <f>VLOOKUP(E287,'Base Original'!$B$4:$C$16,2,0)</f>
        <v>BAA</v>
      </c>
      <c r="G287" s="5" t="str">
        <f t="shared" si="60"/>
        <v>B</v>
      </c>
      <c r="H287" s="5" t="str">
        <f t="shared" si="61"/>
        <v>A</v>
      </c>
      <c r="I287" s="5" t="str">
        <f t="shared" si="62"/>
        <v>A</v>
      </c>
      <c r="J287" s="5" t="str">
        <f t="shared" si="63"/>
        <v>BA</v>
      </c>
      <c r="K287" s="5" t="str">
        <f t="shared" si="64"/>
        <v>BA</v>
      </c>
      <c r="L287" s="5" t="str">
        <f t="shared" si="65"/>
        <v>AA</v>
      </c>
      <c r="M287">
        <v>24.6</v>
      </c>
      <c r="R287" s="4">
        <f>(M195-AVERAGE($M$3:$M$290))^2</f>
        <v>1.3696313476562283</v>
      </c>
      <c r="AI287"/>
    </row>
    <row r="288" spans="2:35" x14ac:dyDescent="0.25">
      <c r="B288" s="5">
        <v>12</v>
      </c>
      <c r="C288" s="5">
        <v>10</v>
      </c>
      <c r="D288" t="str">
        <f t="shared" si="59"/>
        <v>1210</v>
      </c>
      <c r="E288" s="5">
        <v>10</v>
      </c>
      <c r="F288" s="5" t="str">
        <f>VLOOKUP(E288,'Base Original'!$B$4:$C$16,2,0)</f>
        <v>AAB</v>
      </c>
      <c r="G288" s="5" t="str">
        <f t="shared" si="60"/>
        <v>A</v>
      </c>
      <c r="H288" s="5" t="str">
        <f t="shared" si="61"/>
        <v>A</v>
      </c>
      <c r="I288" s="5" t="str">
        <f t="shared" si="62"/>
        <v>B</v>
      </c>
      <c r="J288" s="5" t="str">
        <f t="shared" si="63"/>
        <v>AA</v>
      </c>
      <c r="K288" s="5" t="str">
        <f t="shared" si="64"/>
        <v>AB</v>
      </c>
      <c r="L288" s="5" t="str">
        <f t="shared" si="65"/>
        <v>AB</v>
      </c>
      <c r="M288">
        <v>22.73</v>
      </c>
      <c r="R288" s="4">
        <f>(M196-AVERAGE($M$3:$M$290))^2</f>
        <v>0.23979384765625919</v>
      </c>
      <c r="AI288"/>
    </row>
    <row r="289" spans="2:35" x14ac:dyDescent="0.25">
      <c r="B289" s="5">
        <v>12</v>
      </c>
      <c r="C289" s="5">
        <v>11</v>
      </c>
      <c r="D289" t="str">
        <f t="shared" si="59"/>
        <v>1211</v>
      </c>
      <c r="E289" s="5" t="s">
        <v>23</v>
      </c>
      <c r="F289" s="5" t="str">
        <f>VLOOKUP(E289,'Base Original'!$B$4:$C$16,2,0)</f>
        <v>ABA</v>
      </c>
      <c r="G289" s="5" t="str">
        <f t="shared" si="60"/>
        <v>A</v>
      </c>
      <c r="H289" s="5" t="str">
        <f t="shared" si="61"/>
        <v>B</v>
      </c>
      <c r="I289" s="5" t="str">
        <f t="shared" si="62"/>
        <v>A</v>
      </c>
      <c r="J289" s="5" t="str">
        <f t="shared" si="63"/>
        <v>AB</v>
      </c>
      <c r="K289" s="5" t="str">
        <f t="shared" si="64"/>
        <v>AA</v>
      </c>
      <c r="L289" s="5" t="str">
        <f t="shared" si="65"/>
        <v>BA</v>
      </c>
      <c r="M289">
        <v>23.37</v>
      </c>
      <c r="R289" s="4">
        <f>(M197-AVERAGE($M$3:$M$290))^2</f>
        <v>6.7437597656256495E-2</v>
      </c>
      <c r="AI289"/>
    </row>
    <row r="290" spans="2:35" x14ac:dyDescent="0.25">
      <c r="B290" s="5">
        <v>12</v>
      </c>
      <c r="C290" s="5">
        <v>12</v>
      </c>
      <c r="D290" t="str">
        <f t="shared" si="59"/>
        <v>1212</v>
      </c>
      <c r="E290" s="5" t="s">
        <v>22</v>
      </c>
      <c r="F290" s="5" t="str">
        <f>VLOOKUP(E290,'Base Original'!$B$4:$C$16,2,0)</f>
        <v>CAA</v>
      </c>
      <c r="G290" s="5" t="str">
        <f t="shared" si="60"/>
        <v>C</v>
      </c>
      <c r="H290" s="5" t="str">
        <f t="shared" si="61"/>
        <v>A</v>
      </c>
      <c r="I290" s="5" t="str">
        <f t="shared" si="62"/>
        <v>A</v>
      </c>
      <c r="J290" s="5" t="str">
        <f t="shared" si="63"/>
        <v>CA</v>
      </c>
      <c r="K290" s="5" t="str">
        <f t="shared" si="64"/>
        <v>CA</v>
      </c>
      <c r="L290" s="5" t="str">
        <f t="shared" si="65"/>
        <v>AA</v>
      </c>
      <c r="M290">
        <v>24.82</v>
      </c>
      <c r="R290" s="4">
        <f>(M198-AVERAGE($M$3:$M$290))^2</f>
        <v>3.535575097656205</v>
      </c>
      <c r="AI290"/>
    </row>
    <row r="291" spans="2:35" x14ac:dyDescent="0.25">
      <c r="R291" s="4">
        <f>(M199-AVERAGE($M$3:$M$290))^2</f>
        <v>6.3500976562514723E-3</v>
      </c>
      <c r="AI291"/>
    </row>
    <row r="292" spans="2:35" x14ac:dyDescent="0.25">
      <c r="R292" s="4">
        <f>(M200-AVERAGE($M$3:$M$290))^2</f>
        <v>0.28056884765626278</v>
      </c>
      <c r="AI292"/>
    </row>
    <row r="293" spans="2:35" x14ac:dyDescent="0.25">
      <c r="R293" s="4">
        <f>(M201-AVERAGE($M$3:$M$290))^2</f>
        <v>0.84697509765623302</v>
      </c>
      <c r="AI293"/>
    </row>
    <row r="294" spans="2:35" x14ac:dyDescent="0.25">
      <c r="R294" s="4">
        <f>(M202-AVERAGE($M$3:$M$290))^2</f>
        <v>0.64050009765623361</v>
      </c>
      <c r="AI294"/>
    </row>
    <row r="295" spans="2:35" x14ac:dyDescent="0.25">
      <c r="R295" s="4">
        <f>(M203-AVERAGE($M$3:$M$290))^2</f>
        <v>2.9006347656246854E-2</v>
      </c>
      <c r="AI295"/>
    </row>
    <row r="296" spans="2:35" x14ac:dyDescent="0.25">
      <c r="R296" s="4">
        <f>(M204-AVERAGE($M$3:$M$290))^2</f>
        <v>1.2776063476562229</v>
      </c>
      <c r="AI296"/>
    </row>
    <row r="297" spans="2:35" x14ac:dyDescent="0.25">
      <c r="R297" s="4">
        <f>(M205-AVERAGE($M$3:$M$290))^2</f>
        <v>8.043847656251938E-3</v>
      </c>
      <c r="AI297"/>
    </row>
    <row r="298" spans="2:35" x14ac:dyDescent="0.25">
      <c r="R298" s="4">
        <f>(M206-AVERAGE($M$3:$M$290))^2</f>
        <v>2.6885750976562877</v>
      </c>
      <c r="AI298"/>
    </row>
    <row r="299" spans="2:35" x14ac:dyDescent="0.25">
      <c r="R299" s="4">
        <f>(M207-AVERAGE($M$3:$M$290))^2</f>
        <v>1.020731347656231</v>
      </c>
      <c r="AI299"/>
    </row>
    <row r="300" spans="2:35" x14ac:dyDescent="0.25">
      <c r="R300" s="4">
        <f>(M208-AVERAGE($M$3:$M$290))^2</f>
        <v>1.440750097656222</v>
      </c>
      <c r="AI300"/>
    </row>
    <row r="301" spans="2:35" x14ac:dyDescent="0.25">
      <c r="R301" s="4">
        <f>(M209-AVERAGE($M$3:$M$290))^2</f>
        <v>2.9251688476562157</v>
      </c>
      <c r="AI301"/>
    </row>
    <row r="302" spans="2:35" x14ac:dyDescent="0.25">
      <c r="R302" s="4">
        <f>(M210-AVERAGE($M$3:$M$290))^2</f>
        <v>8.9812597656256987E-2</v>
      </c>
      <c r="AI302"/>
    </row>
    <row r="303" spans="2:35" x14ac:dyDescent="0.25">
      <c r="R303" s="4">
        <f>(M211-AVERAGE($M$3:$M$290))^2</f>
        <v>0.22119384765623865</v>
      </c>
      <c r="AI303"/>
    </row>
    <row r="304" spans="2:35" x14ac:dyDescent="0.25">
      <c r="R304" s="4">
        <f>(M212-AVERAGE($M$3:$M$290))^2</f>
        <v>2.5313476562489703E-3</v>
      </c>
      <c r="AI304"/>
    </row>
    <row r="305" spans="18:35" x14ac:dyDescent="0.25">
      <c r="R305" s="4">
        <f>(M213-AVERAGE($M$3:$M$290))^2</f>
        <v>1.4633438476562786</v>
      </c>
      <c r="AI305"/>
    </row>
    <row r="306" spans="18:35" x14ac:dyDescent="0.25">
      <c r="R306" s="4">
        <f>(M214-AVERAGE($M$3:$M$290))^2</f>
        <v>1.1242625976562242</v>
      </c>
      <c r="AI306"/>
    </row>
    <row r="307" spans="18:35" x14ac:dyDescent="0.25">
      <c r="R307" s="4">
        <f>(M215-AVERAGE($M$3:$M$290))^2</f>
        <v>2.6906250976562158</v>
      </c>
      <c r="AI307"/>
    </row>
    <row r="308" spans="18:35" x14ac:dyDescent="0.25">
      <c r="R308" s="4">
        <f>(M216-AVERAGE($M$3:$M$290))^2</f>
        <v>0.25978134765626276</v>
      </c>
      <c r="AI308"/>
    </row>
    <row r="309" spans="18:35" x14ac:dyDescent="0.25">
      <c r="R309" s="4">
        <f>(M217-AVERAGE($M$3:$M$290))^2</f>
        <v>1.006259765624809E-2</v>
      </c>
      <c r="AI309"/>
    </row>
    <row r="310" spans="18:35" x14ac:dyDescent="0.25">
      <c r="R310" s="4">
        <f>(M218-AVERAGE($M$3:$M$290))^2</f>
        <v>3.6375976562485258E-3</v>
      </c>
      <c r="AI310"/>
    </row>
    <row r="311" spans="18:35" x14ac:dyDescent="0.25">
      <c r="R311" s="4">
        <f>(M219-AVERAGE($M$3:$M$290))^2</f>
        <v>3.9875097656254084E-2</v>
      </c>
      <c r="AI311"/>
    </row>
    <row r="312" spans="18:35" x14ac:dyDescent="0.25">
      <c r="R312" s="4">
        <f>(M220-AVERAGE($M$3:$M$290))^2</f>
        <v>1.7169188476562181</v>
      </c>
    </row>
    <row r="313" spans="18:35" x14ac:dyDescent="0.25">
      <c r="R313" s="4">
        <f>(M221-AVERAGE($M$3:$M$290))^2</f>
        <v>1.0822500976562255</v>
      </c>
    </row>
    <row r="314" spans="18:35" x14ac:dyDescent="0.25">
      <c r="R314" s="4">
        <f>(M222-AVERAGE($M$3:$M$290))^2</f>
        <v>0.15975009765625761</v>
      </c>
    </row>
    <row r="315" spans="18:35" x14ac:dyDescent="0.25">
      <c r="R315" s="4">
        <f>(M223-AVERAGE($M$3:$M$290))^2</f>
        <v>0.84697509765623302</v>
      </c>
    </row>
    <row r="316" spans="18:35" x14ac:dyDescent="0.25">
      <c r="R316" s="4">
        <f>(M224-AVERAGE($M$3:$M$290))^2</f>
        <v>1.5750976562508008E-3</v>
      </c>
    </row>
    <row r="317" spans="18:35" x14ac:dyDescent="0.25">
      <c r="R317" s="4">
        <f>(M225-AVERAGE($M$3:$M$290))^2</f>
        <v>3.0265125976562826</v>
      </c>
    </row>
    <row r="318" spans="18:35" x14ac:dyDescent="0.25">
      <c r="R318" s="4">
        <f>(M226-AVERAGE($M$3:$M$290))^2</f>
        <v>0.56203134765626639</v>
      </c>
    </row>
    <row r="319" spans="18:35" x14ac:dyDescent="0.25">
      <c r="R319" s="4">
        <f>(M227-AVERAGE($M$3:$M$290))^2</f>
        <v>1.8487500976562783</v>
      </c>
    </row>
    <row r="320" spans="18:35" x14ac:dyDescent="0.25">
      <c r="R320" s="4">
        <f>(M228-AVERAGE($M$3:$M$290))^2</f>
        <v>0.7926563476562315</v>
      </c>
    </row>
    <row r="321" spans="18:18" x14ac:dyDescent="0.25">
      <c r="R321" s="4">
        <f>(M229-AVERAGE($M$3:$M$290))^2</f>
        <v>3.5981347656254638E-2</v>
      </c>
    </row>
    <row r="322" spans="18:18" x14ac:dyDescent="0.25">
      <c r="R322" s="4">
        <f>(M230-AVERAGE($M$3:$M$290))^2</f>
        <v>0.10260009765624317</v>
      </c>
    </row>
    <row r="323" spans="18:18" x14ac:dyDescent="0.25">
      <c r="R323" s="4">
        <f>(M231-AVERAGE($M$3:$M$290))^2</f>
        <v>9.7656249993161021E-8</v>
      </c>
    </row>
    <row r="324" spans="18:18" x14ac:dyDescent="0.25">
      <c r="R324" s="4">
        <f>(M232-AVERAGE($M$3:$M$290))^2</f>
        <v>0.63950009765626858</v>
      </c>
    </row>
    <row r="325" spans="18:18" x14ac:dyDescent="0.25">
      <c r="R325" s="4">
        <f>(M233-AVERAGE($M$3:$M$290))^2</f>
        <v>0.86548134765622908</v>
      </c>
    </row>
    <row r="326" spans="18:18" x14ac:dyDescent="0.25">
      <c r="R326" s="4">
        <f>(M234-AVERAGE($M$3:$M$290))^2</f>
        <v>0.90190634765626942</v>
      </c>
    </row>
    <row r="327" spans="18:18" x14ac:dyDescent="0.25">
      <c r="R327" s="4">
        <f>(M235-AVERAGE($M$3:$M$290))^2</f>
        <v>0.37248134765623597</v>
      </c>
    </row>
    <row r="328" spans="18:18" x14ac:dyDescent="0.25">
      <c r="R328" s="4">
        <f>(M236-AVERAGE($M$3:$M$290))^2</f>
        <v>4.9438476562485012E-3</v>
      </c>
    </row>
    <row r="329" spans="18:18" x14ac:dyDescent="0.25">
      <c r="R329" s="4">
        <f>(M237-AVERAGE($M$3:$M$290))^2</f>
        <v>2.159981347656279</v>
      </c>
    </row>
    <row r="330" spans="18:18" x14ac:dyDescent="0.25">
      <c r="R330" s="4">
        <f>(M238-AVERAGE($M$3:$M$290))^2</f>
        <v>0.68941884765622896</v>
      </c>
    </row>
    <row r="331" spans="18:18" x14ac:dyDescent="0.25">
      <c r="R331" s="4">
        <f>(M239-AVERAGE($M$3:$M$290))^2</f>
        <v>0.18463134765625916</v>
      </c>
    </row>
    <row r="332" spans="18:18" x14ac:dyDescent="0.25">
      <c r="R332" s="4">
        <f>(M240-AVERAGE($M$3:$M$290))^2</f>
        <v>1.4648563476562255</v>
      </c>
    </row>
    <row r="333" spans="18:18" x14ac:dyDescent="0.25">
      <c r="R333" s="4">
        <f>(M241-AVERAGE($M$3:$M$290))^2</f>
        <v>2.550009765625354E-2</v>
      </c>
    </row>
    <row r="334" spans="18:18" x14ac:dyDescent="0.25">
      <c r="R334" s="4">
        <f>(M242-AVERAGE($M$3:$M$290))^2</f>
        <v>1.8216563476562835</v>
      </c>
    </row>
    <row r="335" spans="18:18" x14ac:dyDescent="0.25">
      <c r="R335" s="4">
        <f>(M243-AVERAGE($M$3:$M$290))^2</f>
        <v>0.11538759765625733</v>
      </c>
    </row>
    <row r="336" spans="18:18" x14ac:dyDescent="0.25">
      <c r="R336" s="4">
        <f>(M244-AVERAGE($M$3:$M$290))^2</f>
        <v>0.74013759765623022</v>
      </c>
    </row>
    <row r="337" spans="18:18" x14ac:dyDescent="0.25">
      <c r="R337" s="4">
        <f>(M245-AVERAGE($M$3:$M$290))^2</f>
        <v>3.228759765625383E-2</v>
      </c>
    </row>
    <row r="338" spans="18:18" x14ac:dyDescent="0.25">
      <c r="R338" s="4">
        <f>(M246-AVERAGE($M$3:$M$290))^2</f>
        <v>3.0635938476562119</v>
      </c>
    </row>
    <row r="339" spans="18:18" x14ac:dyDescent="0.25">
      <c r="R339" s="4">
        <f>(M247-AVERAGE($M$3:$M$290))^2</f>
        <v>1.0006250976562281</v>
      </c>
    </row>
    <row r="340" spans="18:18" x14ac:dyDescent="0.25">
      <c r="R340" s="4">
        <f>(M248-AVERAGE($M$3:$M$290))^2</f>
        <v>3.3135375976562114</v>
      </c>
    </row>
    <row r="341" spans="18:18" x14ac:dyDescent="0.25">
      <c r="R341" s="4">
        <f>(M249-AVERAGE($M$3:$M$290))^2</f>
        <v>1.9608750976562155</v>
      </c>
    </row>
    <row r="342" spans="18:18" x14ac:dyDescent="0.25">
      <c r="R342" s="4">
        <f>(M250-AVERAGE($M$3:$M$290))^2</f>
        <v>0.7926563476562315</v>
      </c>
    </row>
    <row r="343" spans="18:18" x14ac:dyDescent="0.25">
      <c r="R343" s="4">
        <f>(M251-AVERAGE($M$3:$M$290))^2</f>
        <v>4.8537597656244678E-2</v>
      </c>
    </row>
    <row r="344" spans="18:18" x14ac:dyDescent="0.25">
      <c r="R344" s="4">
        <f>(M252-AVERAGE($M$3:$M$290))^2</f>
        <v>0.79154384765627051</v>
      </c>
    </row>
    <row r="345" spans="18:18" x14ac:dyDescent="0.25">
      <c r="R345" s="4">
        <f>(M253-AVERAGE($M$3:$M$290))^2</f>
        <v>0.77385009765626755</v>
      </c>
    </row>
    <row r="346" spans="18:18" x14ac:dyDescent="0.25">
      <c r="R346" s="4">
        <f>(M254-AVERAGE($M$3:$M$290))^2</f>
        <v>0.95978759765627231</v>
      </c>
    </row>
    <row r="347" spans="18:18" x14ac:dyDescent="0.25">
      <c r="R347" s="4">
        <f>(M255-AVERAGE($M$3:$M$290))^2</f>
        <v>3.3135375976562114</v>
      </c>
    </row>
    <row r="348" spans="18:18" x14ac:dyDescent="0.25">
      <c r="R348" s="4">
        <f>(M256-AVERAGE($M$3:$M$290))^2</f>
        <v>2.5313476562489703E-3</v>
      </c>
    </row>
    <row r="349" spans="18:18" x14ac:dyDescent="0.25">
      <c r="R349" s="4">
        <f>(M257-AVERAGE($M$3:$M$290))^2</f>
        <v>0.72196884765627101</v>
      </c>
    </row>
    <row r="350" spans="18:18" x14ac:dyDescent="0.25">
      <c r="R350" s="4">
        <f>(M258-AVERAGE($M$3:$M$290))^2</f>
        <v>0.1298250976562417</v>
      </c>
    </row>
    <row r="351" spans="18:18" x14ac:dyDescent="0.25">
      <c r="R351" s="4">
        <f>(M259-AVERAGE($M$3:$M$290))^2</f>
        <v>0.88301259765627294</v>
      </c>
    </row>
    <row r="352" spans="18:18" x14ac:dyDescent="0.25">
      <c r="R352" s="4">
        <f>(M260-AVERAGE($M$3:$M$290))^2</f>
        <v>0.63950009765626858</v>
      </c>
    </row>
    <row r="353" spans="18:18" x14ac:dyDescent="0.25">
      <c r="R353" s="4">
        <f>(M261-AVERAGE($M$3:$M$290))^2</f>
        <v>3.1317938476562874</v>
      </c>
    </row>
    <row r="354" spans="18:18" x14ac:dyDescent="0.25">
      <c r="R354" s="4">
        <f>(M262-AVERAGE($M$3:$M$290))^2</f>
        <v>1.5750976562508008E-3</v>
      </c>
    </row>
    <row r="355" spans="18:18" x14ac:dyDescent="0.25">
      <c r="R355" s="4">
        <f>(M263-AVERAGE($M$3:$M$290))^2</f>
        <v>0.90190634765626942</v>
      </c>
    </row>
    <row r="356" spans="18:18" x14ac:dyDescent="0.25">
      <c r="R356" s="4">
        <f>(M264-AVERAGE($M$3:$M$290))^2</f>
        <v>7.8225097656256751E-2</v>
      </c>
    </row>
    <row r="357" spans="18:18" x14ac:dyDescent="0.25">
      <c r="R357" s="4">
        <f>(M265-AVERAGE($M$3:$M$290))^2</f>
        <v>0.14416259765625755</v>
      </c>
    </row>
    <row r="358" spans="18:18" x14ac:dyDescent="0.25">
      <c r="R358" s="4">
        <f>(M266-AVERAGE($M$3:$M$290))^2</f>
        <v>1.144231347656274</v>
      </c>
    </row>
    <row r="359" spans="18:18" x14ac:dyDescent="0.25">
      <c r="R359" s="4">
        <f>(M267-AVERAGE($M$3:$M$290))^2</f>
        <v>3.0635938476562119</v>
      </c>
    </row>
    <row r="360" spans="18:18" x14ac:dyDescent="0.25">
      <c r="R360" s="4">
        <f>(M268-AVERAGE($M$3:$M$290))^2</f>
        <v>1.1455688476562271</v>
      </c>
    </row>
    <row r="361" spans="18:18" x14ac:dyDescent="0.25">
      <c r="R361" s="4">
        <f>(M269-AVERAGE($M$3:$M$290))^2</f>
        <v>1.3931375976562235</v>
      </c>
    </row>
    <row r="362" spans="18:18" x14ac:dyDescent="0.25">
      <c r="R362" s="4">
        <f>(M270-AVERAGE($M$3:$M$290))^2</f>
        <v>0.5179500976562641</v>
      </c>
    </row>
    <row r="363" spans="18:18" x14ac:dyDescent="0.25">
      <c r="R363" s="4">
        <f>(M271-AVERAGE($M$3:$M$290))^2</f>
        <v>2.8910625976562105</v>
      </c>
    </row>
    <row r="364" spans="18:18" x14ac:dyDescent="0.25">
      <c r="R364" s="4">
        <f>(M272-AVERAGE($M$3:$M$290))^2</f>
        <v>0.22119384765623865</v>
      </c>
    </row>
    <row r="365" spans="18:18" x14ac:dyDescent="0.25">
      <c r="R365" s="4">
        <f>(M273-AVERAGE($M$3:$M$290))^2</f>
        <v>0.7563563476562708</v>
      </c>
    </row>
    <row r="366" spans="18:18" x14ac:dyDescent="0.25">
      <c r="R366" s="4">
        <f>(M274-AVERAGE($M$3:$M$290))^2</f>
        <v>2.3113500976562156</v>
      </c>
    </row>
    <row r="367" spans="18:18" x14ac:dyDescent="0.25">
      <c r="R367" s="4">
        <f>(M275-AVERAGE($M$3:$M$290))^2</f>
        <v>0.57712509765626896</v>
      </c>
    </row>
    <row r="368" spans="18:18" x14ac:dyDescent="0.25">
      <c r="R368" s="4">
        <f>(M276-AVERAGE($M$3:$M$290))^2</f>
        <v>0.20221884765625919</v>
      </c>
    </row>
    <row r="369" spans="18:18" x14ac:dyDescent="0.25">
      <c r="R369" s="4">
        <f>(M277-AVERAGE($M$3:$M$290))^2</f>
        <v>2.3399438476562868</v>
      </c>
    </row>
    <row r="370" spans="18:18" x14ac:dyDescent="0.25">
      <c r="R370" s="4">
        <f>(M278-AVERAGE($M$3:$M$290))^2</f>
        <v>2.1034063476562164</v>
      </c>
    </row>
    <row r="371" spans="18:18" x14ac:dyDescent="0.25">
      <c r="R371" s="4">
        <f>(M279-AVERAGE($M$3:$M$290))^2</f>
        <v>3.8759765625041409E-4</v>
      </c>
    </row>
    <row r="372" spans="18:18" x14ac:dyDescent="0.25">
      <c r="R372" s="4">
        <f>(M280-AVERAGE($M$3:$M$290))^2</f>
        <v>3.2512597656245951E-2</v>
      </c>
    </row>
    <row r="373" spans="18:18" x14ac:dyDescent="0.25">
      <c r="R373" s="4">
        <f>(M281-AVERAGE($M$3:$M$290))^2</f>
        <v>1.1455688476562271</v>
      </c>
    </row>
    <row r="374" spans="18:18" x14ac:dyDescent="0.25">
      <c r="R374" s="4">
        <f>(M282-AVERAGE($M$3:$M$290))^2</f>
        <v>2.7899438476562191</v>
      </c>
    </row>
    <row r="375" spans="18:18" x14ac:dyDescent="0.25">
      <c r="R375" s="4">
        <f>(M283-AVERAGE($M$3:$M$290))^2</f>
        <v>1.905262597656217</v>
      </c>
    </row>
    <row r="376" spans="18:18" x14ac:dyDescent="0.25">
      <c r="R376" s="4">
        <f>(M284-AVERAGE($M$3:$M$290))^2</f>
        <v>0.27007509765626092</v>
      </c>
    </row>
    <row r="377" spans="18:18" x14ac:dyDescent="0.25">
      <c r="R377" s="4">
        <f>(M285-AVERAGE($M$3:$M$290))^2</f>
        <v>8.428134765624315E-2</v>
      </c>
    </row>
    <row r="378" spans="18:18" x14ac:dyDescent="0.25">
      <c r="R378" s="4">
        <f>(M286-AVERAGE($M$3:$M$290))^2</f>
        <v>4.5382313476561995</v>
      </c>
    </row>
    <row r="379" spans="18:18" x14ac:dyDescent="0.25">
      <c r="R379" s="4">
        <f>(M287-AVERAGE($M$3:$M$290))^2</f>
        <v>0.12228134765625864</v>
      </c>
    </row>
    <row r="380" spans="18:18" x14ac:dyDescent="0.25">
      <c r="R380" s="4">
        <f>(M288-AVERAGE($M$3:$M$290))^2</f>
        <v>2.3113500976562156</v>
      </c>
    </row>
    <row r="381" spans="18:18" x14ac:dyDescent="0.25">
      <c r="R381" s="4">
        <f>(M289-AVERAGE($M$3:$M$290))^2</f>
        <v>0.77495009765622902</v>
      </c>
    </row>
    <row r="382" spans="18:18" x14ac:dyDescent="0.25">
      <c r="R382" s="4">
        <f>(M290-AVERAGE($M$3:$M$290))^2</f>
        <v>0.32454384765626282</v>
      </c>
    </row>
  </sheetData>
  <mergeCells count="2">
    <mergeCell ref="AI9:AN9"/>
    <mergeCell ref="AI15:AN1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4E8078E54A2C4590B33D7871BF839C" ma:contentTypeVersion="0" ma:contentTypeDescription="Crie um novo documento." ma:contentTypeScope="" ma:versionID="e2b62a4a2882f5c93e713dee832c1b7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21b36c5af515ce44e096a6a42a2f9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0DD8F9-3145-4B28-A615-FD5EE3F52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B43CC11-2BEA-4A89-9E27-4955C70094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084644-6302-4915-BF07-A720183169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Problema</vt:lpstr>
      <vt:lpstr>Base Original</vt:lpstr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Takata Gomes</dc:creator>
  <cp:lastModifiedBy>Guto</cp:lastModifiedBy>
  <dcterms:created xsi:type="dcterms:W3CDTF">2018-11-09T23:43:53Z</dcterms:created>
  <dcterms:modified xsi:type="dcterms:W3CDTF">2025-06-12T00:00:54Z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0x010100A14E8078E54A2C4590B33D7871BF839C</vt:lpwstr>
  </property>
</Properties>
</file>